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Gevoelighei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#,##0;(€#,##0);-"/>
    <numFmt numFmtId="165" formatCode="#,##0.0"/>
    <numFmt numFmtId="166" formatCode="€#,##0.00;(€#,##0.00);-"/>
    <numFmt numFmtId="167" formatCode="0.0%"/>
  </numFmts>
  <fonts count="11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9"/>
    </font>
    <font>
      <name val="Arial"/>
      <i val="1"/>
      <color rgb="00C00000"/>
      <sz val="9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bottom style="thin">
        <color rgb="0080808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3" fontId="7" fillId="3" borderId="0" pivotButton="0" quotePrefix="0" xfId="0"/>
    <xf numFmtId="0" fontId="8" fillId="0" borderId="0" pivotButton="0" quotePrefix="0" xfId="0"/>
    <xf numFmtId="49" fontId="7" fillId="3" borderId="0" pivotButton="0" quotePrefix="0" xfId="0"/>
    <xf numFmtId="164" fontId="7" fillId="3" borderId="0" pivotButton="0" quotePrefix="0" xfId="0"/>
    <xf numFmtId="165" fontId="7" fillId="3" borderId="0" pivotButton="0" quotePrefix="0" xfId="0"/>
    <xf numFmtId="166" fontId="7" fillId="3" borderId="0" pivotButton="0" quotePrefix="0" xfId="0"/>
    <xf numFmtId="167" fontId="7" fillId="3" borderId="0" pivotButton="0" quotePrefix="0" xfId="0"/>
    <xf numFmtId="0" fontId="3" fillId="4" borderId="1" pivotButton="0" quotePrefix="0" xfId="0"/>
    <xf numFmtId="167" fontId="7" fillId="0" borderId="0" pivotButton="0" quotePrefix="0" xfId="0"/>
    <xf numFmtId="164" fontId="7" fillId="0" borderId="0" pivotButton="0" quotePrefix="0" xfId="0"/>
    <xf numFmtId="0" fontId="9" fillId="0" borderId="0" pivotButton="0" quotePrefix="0" xfId="0"/>
    <xf numFmtId="167" fontId="6" fillId="0" borderId="0" pivotButton="0" quotePrefix="0" xfId="0"/>
    <xf numFmtId="164" fontId="6" fillId="0" borderId="0" pivotButton="0" quotePrefix="0" xfId="0"/>
    <xf numFmtId="164" fontId="3" fillId="0" borderId="0" pivotButton="0" quotePrefix="0" xfId="0"/>
    <xf numFmtId="165" fontId="10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E63"/>
  <sheetViews>
    <sheetView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6" customWidth="1" min="3" max="3"/>
    <col width="16" customWidth="1" min="4" max="4"/>
    <col width="74" customWidth="1" min="5" max="5"/>
  </cols>
  <sheetData>
    <row r="1">
      <c r="B1" s="1" t="inlineStr">
        <is>
          <t>TCO-model elektrische vrachtwagens — AanZET 2026</t>
        </is>
      </c>
    </row>
    <row r="2">
      <c r="B2" s="2" t="inlineStr">
        <is>
          <t>A. Baas Potplantenkwekerij B.V. — 2 trucks, categorie N3</t>
        </is>
      </c>
    </row>
    <row r="4">
      <c r="B4" s="3" t="inlineStr">
        <is>
          <t>Legenda:</t>
        </is>
      </c>
      <c r="C4" s="4" t="inlineStr">
        <is>
          <t>Geel met blauwe tekst = zelf invullen. Zwarte tekst = formule, niet overschrijven.</t>
        </is>
      </c>
    </row>
    <row r="6">
      <c r="B6" s="5" t="inlineStr">
        <is>
          <t>1. INVOER</t>
        </is>
      </c>
      <c r="C6" s="5" t="n"/>
      <c r="D6" s="5" t="n"/>
      <c r="E6" s="5" t="n"/>
    </row>
    <row r="7">
      <c r="B7" s="6" t="inlineStr">
        <is>
          <t>Aantal trucks</t>
        </is>
      </c>
      <c r="C7" s="7" t="n">
        <v>2</v>
      </c>
    </row>
    <row r="8">
      <c r="B8" s="6" t="inlineStr">
        <is>
          <t>Kilometers per truck per jaar</t>
        </is>
      </c>
      <c r="C8" s="7" t="n">
        <v>150000</v>
      </c>
      <c r="E8" s="8" t="inlineStr">
        <is>
          <t>Afgeleid uit 2 x 300-400 km/dag x ca. 230 dagen — VERVANGEN door werkelijke cijfers</t>
        </is>
      </c>
    </row>
    <row r="9">
      <c r="B9" s="6" t="inlineStr">
        <is>
          <t>Ondernemingsgrootte</t>
        </is>
      </c>
      <c r="C9" s="9" t="inlineStr">
        <is>
          <t>Middelgroot</t>
        </is>
      </c>
      <c r="E9" s="8" t="inlineStr">
        <is>
          <t>Kies: Klein / Middelgroot / Groot. Toets geldt voor de HELE groep, geconsolideerd</t>
        </is>
      </c>
    </row>
    <row r="10">
      <c r="B10" s="6" t="inlineStr">
        <is>
          <t>Chassisprijs e-truck (excl. opbouw, excl. btw)</t>
        </is>
      </c>
      <c r="C10" s="10" t="n">
        <v>280000</v>
      </c>
      <c r="E10" s="8" t="inlineStr">
        <is>
          <t>AANNAME — grondslag voor de subsidie, opvragen bij de dealer</t>
        </is>
      </c>
    </row>
    <row r="11">
      <c r="B11" s="6" t="inlineStr">
        <is>
          <t>Vergelijkbaar dieselchassis (excl. btw)</t>
        </is>
      </c>
      <c r="C11" s="10" t="n">
        <v>120000</v>
      </c>
      <c r="E11" s="8" t="inlineStr">
        <is>
          <t>AANNAME</t>
        </is>
      </c>
    </row>
    <row r="12">
      <c r="B12" s="6" t="inlineStr">
        <is>
          <t>Dieselverbruik (l per 100 km)</t>
        </is>
      </c>
      <c r="C12" s="11" t="n">
        <v>30</v>
      </c>
      <c r="E12" s="8" t="inlineStr">
        <is>
          <t>AANNAME — 40-tons combinatie</t>
        </is>
      </c>
    </row>
    <row r="13">
      <c r="B13" s="6" t="inlineStr">
        <is>
          <t>Dieselprijs (excl. btw, per liter)</t>
        </is>
      </c>
      <c r="C13" s="12" t="n">
        <v>1.55</v>
      </c>
      <c r="E13" s="8" t="inlineStr">
        <is>
          <t>AANNAME</t>
        </is>
      </c>
    </row>
    <row r="14">
      <c r="B14" s="6" t="inlineStr">
        <is>
          <t>Stroomverbruik (kWh per km)</t>
        </is>
      </c>
      <c r="C14" s="11" t="n">
        <v>1.2</v>
      </c>
      <c r="E14" s="8" t="inlineStr">
        <is>
          <t>AANNAME — verhoog met 5-10% voor laadverliezen</t>
        </is>
      </c>
    </row>
    <row r="15">
      <c r="B15" s="6" t="inlineStr">
        <is>
          <t>Stroomprijs all-in (per kWh)</t>
        </is>
      </c>
      <c r="C15" s="12" t="n">
        <v>0.2</v>
      </c>
      <c r="E15" s="8" t="inlineStr">
        <is>
          <t>AANNAME — levering + energiebelasting + opslagen + variabel netbeheer</t>
        </is>
      </c>
    </row>
    <row r="16">
      <c r="B16" s="6" t="inlineStr">
        <is>
          <t>Onderhoud diesel (per km)</t>
        </is>
      </c>
      <c r="C16" s="12" t="n">
        <v>0.15</v>
      </c>
      <c r="E16" s="8" t="inlineStr">
        <is>
          <t>AANNAME</t>
        </is>
      </c>
    </row>
    <row r="17">
      <c r="B17" s="6" t="inlineStr">
        <is>
          <t>Onderhoud elektrisch (per km)</t>
        </is>
      </c>
      <c r="C17" s="12" t="n">
        <v>0.1</v>
      </c>
      <c r="E17" s="8" t="inlineStr">
        <is>
          <t>AANNAME</t>
        </is>
      </c>
    </row>
    <row r="18">
      <c r="B18" s="6" t="inlineStr">
        <is>
          <t>Vrachtwagenheffing diesel (per km)</t>
        </is>
      </c>
      <c r="C18" s="12" t="n">
        <v>0.19</v>
      </c>
      <c r="E18" s="8" t="inlineStr">
        <is>
          <t>Bron: tarief per 1 juli 2026, gemiddelde</t>
        </is>
      </c>
    </row>
    <row r="19">
      <c r="B19" s="6" t="inlineStr">
        <is>
          <t>Vrachtwagenheffing zero-emissie (per km)</t>
        </is>
      </c>
      <c r="C19" s="12" t="n">
        <v>0.04</v>
      </c>
      <c r="E19" s="8" t="inlineStr">
        <is>
          <t>Bron: ca. 80% korting t.o.v. Euro VI diesel</t>
        </is>
      </c>
    </row>
    <row r="20">
      <c r="B20" s="6" t="inlineStr">
        <is>
          <t>Vennootschapsbelasting</t>
        </is>
      </c>
      <c r="C20" s="13" t="n">
        <v>0.258</v>
      </c>
      <c r="E20" s="8" t="inlineStr">
        <is>
          <t>Tarief 2026</t>
        </is>
      </c>
    </row>
    <row r="21">
      <c r="B21" s="6" t="inlineStr">
        <is>
          <t>EIA-aftrekpercentage</t>
        </is>
      </c>
      <c r="C21" s="13" t="n">
        <v>0.4</v>
      </c>
      <c r="E21" s="8" t="inlineStr">
        <is>
          <t>EIA 2026</t>
        </is>
      </c>
    </row>
    <row r="22">
      <c r="B22" s="6" t="inlineStr">
        <is>
          <t>Investering laadinfrastructuur (excl. btw)</t>
        </is>
      </c>
      <c r="C22" s="10" t="n">
        <v>461500</v>
      </c>
      <c r="E22" s="8" t="inlineStr">
        <is>
          <t>Offerte Draccu DR283: accu 1.045 kWh + 3x DC 240 kW</t>
        </is>
      </c>
    </row>
    <row r="23">
      <c r="B23" s="6" t="inlineStr">
        <is>
          <t>SPRILA-subsidie laadinfrastructuur</t>
        </is>
      </c>
      <c r="C23" s="10" t="n">
        <v>178000</v>
      </c>
      <c r="E23" s="8" t="inlineStr">
        <is>
          <t>Aanvraag juli 2026</t>
        </is>
      </c>
    </row>
    <row r="25">
      <c r="B25" s="5" t="inlineStr">
        <is>
          <t>2. AANZET-PERCENTAGES CATEGORIE N3</t>
        </is>
      </c>
      <c r="C25" s="5" t="n"/>
      <c r="D25" s="5" t="n"/>
      <c r="E25" s="5" t="n"/>
    </row>
    <row r="26">
      <c r="B26" s="14" t="inlineStr">
        <is>
          <t>Ondernemingsgrootte</t>
        </is>
      </c>
      <c r="C26" s="14" t="inlineStr">
        <is>
          <t>Percentage</t>
        </is>
      </c>
      <c r="D26" s="14" t="inlineStr">
        <is>
          <t>Maximum per voertuig</t>
        </is>
      </c>
    </row>
    <row r="27">
      <c r="B27" s="6" t="inlineStr">
        <is>
          <t>Klein</t>
        </is>
      </c>
      <c r="C27" s="15" t="n">
        <v>0.29</v>
      </c>
      <c r="D27" s="16" t="n">
        <v>115200</v>
      </c>
    </row>
    <row r="28">
      <c r="B28" s="6" t="inlineStr">
        <is>
          <t>Middelgroot</t>
        </is>
      </c>
      <c r="C28" s="15" t="n">
        <v>0.21</v>
      </c>
      <c r="D28" s="16" t="n">
        <v>83200</v>
      </c>
    </row>
    <row r="29">
      <c r="B29" s="6" t="inlineStr">
        <is>
          <t>Groot</t>
        </is>
      </c>
      <c r="C29" s="15" t="n">
        <v>0.111</v>
      </c>
      <c r="D29" s="16" t="n">
        <v>43900</v>
      </c>
    </row>
    <row r="30">
      <c r="E30" s="17" t="inlineStr">
        <is>
          <t>Niet geverifieerd tegen de regelingstekst — controleer op rvo.nl/aanzet</t>
        </is>
      </c>
    </row>
    <row r="32">
      <c r="B32" s="5" t="inlineStr">
        <is>
          <t>3. AANZET-SUBSIDIE</t>
        </is>
      </c>
      <c r="C32" s="5" t="n"/>
      <c r="D32" s="5" t="n"/>
      <c r="E32" s="5" t="n"/>
    </row>
    <row r="33">
      <c r="B33" s="6" t="inlineStr">
        <is>
          <t>Subsidiepercentage van toepassing</t>
        </is>
      </c>
      <c r="C33" s="18">
        <f>INDEX($C$27:$C$29,MATCH($C$9,$B$27:$B$29,0))</f>
        <v/>
      </c>
    </row>
    <row r="34">
      <c r="B34" s="6" t="inlineStr">
        <is>
          <t>Maximum per voertuig</t>
        </is>
      </c>
      <c r="C34" s="19">
        <f>INDEX($D$27:$D$29,MATCH($C$9,$B$27:$B$29,0))</f>
        <v/>
      </c>
    </row>
    <row r="35">
      <c r="B35" s="6" t="inlineStr">
        <is>
          <t>AanZET per truck</t>
        </is>
      </c>
      <c r="C35" s="19">
        <f>MIN($C$10*C33,C34)</f>
        <v/>
      </c>
      <c r="E35" s="8" t="inlineStr">
        <is>
          <t>Percentage x chassisprijs, afgetopt op het maximum</t>
        </is>
      </c>
    </row>
    <row r="36">
      <c r="B36" s="6" t="inlineStr">
        <is>
          <t>AanZET totaal</t>
        </is>
      </c>
      <c r="C36" s="20">
        <f>C35*$C$7</f>
        <v/>
      </c>
    </row>
    <row r="38">
      <c r="B38" s="5" t="inlineStr">
        <is>
          <t>4. EXTRA INVESTERING TEN OPZICHTE VAN DIESEL</t>
        </is>
      </c>
      <c r="C38" s="5" t="n"/>
      <c r="D38" s="5" t="n"/>
      <c r="E38" s="5" t="n"/>
    </row>
    <row r="39">
      <c r="B39" s="6" t="inlineStr">
        <is>
          <t>Meerkosten e-truck per truck</t>
        </is>
      </c>
      <c r="C39" s="19">
        <f>$C$10-$C$11</f>
        <v/>
      </c>
    </row>
    <row r="40">
      <c r="B40" s="6" t="inlineStr">
        <is>
          <t>EIA-grondslag per truck</t>
        </is>
      </c>
      <c r="C40" s="19">
        <f>MAX(0,C39-C35)</f>
        <v/>
      </c>
      <c r="E40" s="8" t="inlineStr">
        <is>
          <t>Meerkosten minus subsidie. Voorzichtige aanname — zie doc §4</t>
        </is>
      </c>
    </row>
    <row r="41">
      <c r="B41" s="6" t="inlineStr">
        <is>
          <t>EIA-voordeel per truck (kaseffect)</t>
        </is>
      </c>
      <c r="C41" s="19">
        <f>C40*$C$21*$C$20</f>
        <v/>
      </c>
    </row>
    <row r="42">
      <c r="B42" s="6" t="inlineStr">
        <is>
          <t>Netto meerkosten per truck</t>
        </is>
      </c>
      <c r="C42" s="19">
        <f>C39-C35-C41</f>
        <v/>
      </c>
    </row>
    <row r="43">
      <c r="B43" s="6" t="inlineStr">
        <is>
          <t>Netto meerkosten alle trucks</t>
        </is>
      </c>
      <c r="C43" s="19">
        <f>C42*$C$7</f>
        <v/>
      </c>
    </row>
    <row r="44">
      <c r="B44" s="6" t="inlineStr">
        <is>
          <t>Laadinfrastructuur na SPRILA</t>
        </is>
      </c>
      <c r="C44" s="19">
        <f>$C$22-$C$23</f>
        <v/>
      </c>
    </row>
    <row r="45">
      <c r="B45" s="6" t="inlineStr">
        <is>
          <t>TOTALE EXTRA INVESTERING</t>
        </is>
      </c>
      <c r="C45" s="20">
        <f>C43+C44</f>
        <v/>
      </c>
    </row>
    <row r="47">
      <c r="B47" s="5" t="inlineStr">
        <is>
          <t>5. JAARLIJKSE EXPLOITATIEKOSTEN PER TRUCK</t>
        </is>
      </c>
      <c r="C47" s="5" t="n"/>
      <c r="D47" s="5" t="n"/>
      <c r="E47" s="5" t="n"/>
    </row>
    <row r="48">
      <c r="B48" s="6" t="inlineStr">
        <is>
          <t>Diesel — brandstof</t>
        </is>
      </c>
      <c r="C48" s="19">
        <f>$C$8*$C$12/100*$C$13</f>
        <v/>
      </c>
    </row>
    <row r="49">
      <c r="B49" s="6" t="inlineStr">
        <is>
          <t>Diesel — vrachtwagenheffing</t>
        </is>
      </c>
      <c r="C49" s="19">
        <f>$C$8*$C$18</f>
        <v/>
      </c>
    </row>
    <row r="50">
      <c r="B50" s="6" t="inlineStr">
        <is>
          <t>Diesel — onderhoud</t>
        </is>
      </c>
      <c r="C50" s="19">
        <f>$C$8*$C$16</f>
        <v/>
      </c>
    </row>
    <row r="51">
      <c r="B51" s="6" t="inlineStr">
        <is>
          <t>Diesel totaal</t>
        </is>
      </c>
      <c r="C51" s="20">
        <f>SUM(C48:C50)</f>
        <v/>
      </c>
    </row>
    <row r="52">
      <c r="B52" s="6" t="inlineStr">
        <is>
          <t>Elektrisch — stroom</t>
        </is>
      </c>
      <c r="C52" s="19">
        <f>$C$8*$C$14*$C$15</f>
        <v/>
      </c>
    </row>
    <row r="53">
      <c r="B53" s="6" t="inlineStr">
        <is>
          <t>Elektrisch — vrachtwagenheffing</t>
        </is>
      </c>
      <c r="C53" s="19">
        <f>$C$8*$C$19</f>
        <v/>
      </c>
    </row>
    <row r="54">
      <c r="B54" s="6" t="inlineStr">
        <is>
          <t>Elektrisch — onderhoud</t>
        </is>
      </c>
      <c r="C54" s="19">
        <f>$C$8*$C$17</f>
        <v/>
      </c>
    </row>
    <row r="55">
      <c r="B55" s="6" t="inlineStr">
        <is>
          <t>Elektrisch totaal</t>
        </is>
      </c>
      <c r="C55" s="20">
        <f>SUM(C52:C54)</f>
        <v/>
      </c>
    </row>
    <row r="56">
      <c r="B56" s="6" t="inlineStr">
        <is>
          <t>Besparing per truck per jaar</t>
        </is>
      </c>
      <c r="C56" s="19">
        <f>C51-C55</f>
        <v/>
      </c>
    </row>
    <row r="57">
      <c r="B57" s="6" t="inlineStr">
        <is>
          <t>Besparing alle trucks per jaar</t>
        </is>
      </c>
      <c r="C57" s="20">
        <f>C56*$C$7</f>
        <v/>
      </c>
    </row>
    <row r="59">
      <c r="B59" s="5" t="inlineStr">
        <is>
          <t>6. UITKOMST</t>
        </is>
      </c>
      <c r="C59" s="5" t="n"/>
      <c r="D59" s="5" t="n"/>
      <c r="E59" s="5" t="n"/>
    </row>
    <row r="60">
      <c r="B60" s="6" t="inlineStr">
        <is>
          <t>Totale extra investering</t>
        </is>
      </c>
      <c r="C60" s="19">
        <f>C45</f>
        <v/>
      </c>
    </row>
    <row r="61">
      <c r="B61" s="6" t="inlineStr">
        <is>
          <t>Besparing per jaar</t>
        </is>
      </c>
      <c r="C61" s="19">
        <f>C57</f>
        <v/>
      </c>
    </row>
    <row r="62">
      <c r="B62" s="6" t="inlineStr">
        <is>
          <t>Terugverdientijd (jaren)</t>
        </is>
      </c>
      <c r="C62" s="21">
        <f>IF(C61&lt;=0,"nooit",C45/C61)</f>
        <v/>
      </c>
    </row>
    <row r="63">
      <c r="B63" s="17" t="inlineStr">
        <is>
          <t>Restwaarde, accuvervanging, financieringskosten en ETS2 zitten hier NIET in — zie doc §6.5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30"/>
  <sheetViews>
    <sheetView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0" customWidth="1" min="3" max="3"/>
    <col width="22" customWidth="1" min="4" max="4"/>
    <col width="24" customWidth="1" min="5" max="5"/>
  </cols>
  <sheetData>
    <row r="1">
      <c r="B1" s="1" t="inlineStr">
        <is>
          <t>Gevoeligheidsanalyse</t>
        </is>
      </c>
    </row>
    <row r="2">
      <c r="B2" s="8" t="inlineStr">
        <is>
          <t>Rekent live mee met de invoer op het blad Model. Alleen de eerste kolom is invoer.</t>
        </is>
      </c>
    </row>
    <row r="4">
      <c r="B4" s="5" t="inlineStr">
        <is>
          <t>A. KILOMETERS PER TRUCK PER JAAR</t>
        </is>
      </c>
      <c r="C4" s="5" t="n"/>
      <c r="D4" s="5" t="n"/>
      <c r="E4" s="5" t="n"/>
    </row>
    <row r="5">
      <c r="B5" s="14" t="inlineStr">
        <is>
          <t>km per truck per jaar</t>
        </is>
      </c>
      <c r="C5" s="14" t="inlineStr">
        <is>
          <t>Besparing per jaar</t>
        </is>
      </c>
      <c r="D5" s="14" t="inlineStr">
        <is>
          <t>Terugverdientijd (jaren)</t>
        </is>
      </c>
    </row>
    <row r="6">
      <c r="B6" s="7" t="n">
        <v>60000</v>
      </c>
      <c r="C6" s="19">
        <f>B6*((Model!$C$12/100*Model!$C$13+Model!$C$18+Model!$C$16)-(Model!$C$14*Model!$C$15+Model!$C$19+Model!$C$17))*Model!$C$7</f>
        <v/>
      </c>
      <c r="D6" s="22">
        <f>IF(C6&lt;=0,"nooit",Model!$C$45/C6)</f>
        <v/>
      </c>
    </row>
    <row r="7">
      <c r="B7" s="7" t="n">
        <v>80000</v>
      </c>
      <c r="C7" s="19">
        <f>B7*((Model!$C$12/100*Model!$C$13+Model!$C$18+Model!$C$16)-(Model!$C$14*Model!$C$15+Model!$C$19+Model!$C$17))*Model!$C$7</f>
        <v/>
      </c>
      <c r="D7" s="22">
        <f>IF(C7&lt;=0,"nooit",Model!$C$45/C7)</f>
        <v/>
      </c>
    </row>
    <row r="8">
      <c r="B8" s="7" t="n">
        <v>100000</v>
      </c>
      <c r="C8" s="19">
        <f>B8*((Model!$C$12/100*Model!$C$13+Model!$C$18+Model!$C$16)-(Model!$C$14*Model!$C$15+Model!$C$19+Model!$C$17))*Model!$C$7</f>
        <v/>
      </c>
      <c r="D8" s="22">
        <f>IF(C8&lt;=0,"nooit",Model!$C$45/C8)</f>
        <v/>
      </c>
    </row>
    <row r="9">
      <c r="B9" s="7" t="n">
        <v>120000</v>
      </c>
      <c r="C9" s="19">
        <f>B9*((Model!$C$12/100*Model!$C$13+Model!$C$18+Model!$C$16)-(Model!$C$14*Model!$C$15+Model!$C$19+Model!$C$17))*Model!$C$7</f>
        <v/>
      </c>
      <c r="D9" s="22">
        <f>IF(C9&lt;=0,"nooit",Model!$C$45/C9)</f>
        <v/>
      </c>
    </row>
    <row r="10">
      <c r="B10" s="7" t="n">
        <v>150000</v>
      </c>
      <c r="C10" s="19">
        <f>B10*((Model!$C$12/100*Model!$C$13+Model!$C$18+Model!$C$16)-(Model!$C$14*Model!$C$15+Model!$C$19+Model!$C$17))*Model!$C$7</f>
        <v/>
      </c>
      <c r="D10" s="22">
        <f>IF(C10&lt;=0,"nooit",Model!$C$45/C10)</f>
        <v/>
      </c>
    </row>
    <row r="11">
      <c r="B11" s="7" t="n">
        <v>180000</v>
      </c>
      <c r="C11" s="19">
        <f>B11*((Model!$C$12/100*Model!$C$13+Model!$C$18+Model!$C$16)-(Model!$C$14*Model!$C$15+Model!$C$19+Model!$C$17))*Model!$C$7</f>
        <v/>
      </c>
      <c r="D11" s="22">
        <f>IF(C11&lt;=0,"nooit",Model!$C$45/C11)</f>
        <v/>
      </c>
    </row>
    <row r="12">
      <c r="B12" s="7" t="n">
        <v>200000</v>
      </c>
      <c r="C12" s="19">
        <f>B12*((Model!$C$12/100*Model!$C$13+Model!$C$18+Model!$C$16)-(Model!$C$14*Model!$C$15+Model!$C$19+Model!$C$17))*Model!$C$7</f>
        <v/>
      </c>
      <c r="D12" s="22">
        <f>IF(C12&lt;=0,"nooit",Model!$C$45/C12)</f>
        <v/>
      </c>
    </row>
    <row r="15">
      <c r="B15" s="5" t="inlineStr">
        <is>
          <t>B. STROOMPRIJS ALL-IN</t>
        </is>
      </c>
      <c r="C15" s="5" t="n"/>
      <c r="D15" s="5" t="n"/>
      <c r="E15" s="5" t="n"/>
    </row>
    <row r="16">
      <c r="B16" s="14" t="inlineStr">
        <is>
          <t>€ per kWh</t>
        </is>
      </c>
      <c r="C16" s="14" t="inlineStr">
        <is>
          <t>Besparing per jaar</t>
        </is>
      </c>
      <c r="D16" s="14" t="inlineStr">
        <is>
          <t>Terugverdientijd (jaren)</t>
        </is>
      </c>
    </row>
    <row r="17">
      <c r="B17" s="12" t="n">
        <v>0.1</v>
      </c>
      <c r="C17" s="19">
        <f>Model!$C$57+(Model!$C$15-B17)*Model!$C$8*Model!$C$14*Model!$C$7</f>
        <v/>
      </c>
      <c r="D17" s="22">
        <f>IF(C17&lt;=0,"nooit",Model!$C$45/C17)</f>
        <v/>
      </c>
    </row>
    <row r="18">
      <c r="B18" s="12" t="n">
        <v>0.14</v>
      </c>
      <c r="C18" s="19">
        <f>Model!$C$57+(Model!$C$15-B18)*Model!$C$8*Model!$C$14*Model!$C$7</f>
        <v/>
      </c>
      <c r="D18" s="22">
        <f>IF(C18&lt;=0,"nooit",Model!$C$45/C18)</f>
        <v/>
      </c>
    </row>
    <row r="19">
      <c r="B19" s="12" t="n">
        <v>0.18</v>
      </c>
      <c r="C19" s="19">
        <f>Model!$C$57+(Model!$C$15-B19)*Model!$C$8*Model!$C$14*Model!$C$7</f>
        <v/>
      </c>
      <c r="D19" s="22">
        <f>IF(C19&lt;=0,"nooit",Model!$C$45/C19)</f>
        <v/>
      </c>
    </row>
    <row r="20">
      <c r="B20" s="12" t="n">
        <v>0.2</v>
      </c>
      <c r="C20" s="19">
        <f>Model!$C$57+(Model!$C$15-B20)*Model!$C$8*Model!$C$14*Model!$C$7</f>
        <v/>
      </c>
      <c r="D20" s="22">
        <f>IF(C20&lt;=0,"nooit",Model!$C$45/C20)</f>
        <v/>
      </c>
    </row>
    <row r="21">
      <c r="B21" s="12" t="n">
        <v>0.24</v>
      </c>
      <c r="C21" s="19">
        <f>Model!$C$57+(Model!$C$15-B21)*Model!$C$8*Model!$C$14*Model!$C$7</f>
        <v/>
      </c>
      <c r="D21" s="22">
        <f>IF(C21&lt;=0,"nooit",Model!$C$45/C21)</f>
        <v/>
      </c>
    </row>
    <row r="22">
      <c r="B22" s="12" t="n">
        <v>0.28</v>
      </c>
      <c r="C22" s="19">
        <f>Model!$C$57+(Model!$C$15-B22)*Model!$C$8*Model!$C$14*Model!$C$7</f>
        <v/>
      </c>
      <c r="D22" s="22">
        <f>IF(C22&lt;=0,"nooit",Model!$C$45/C22)</f>
        <v/>
      </c>
    </row>
    <row r="23">
      <c r="B23" s="12" t="n">
        <v>0.35</v>
      </c>
      <c r="C23" s="19">
        <f>Model!$C$57+(Model!$C$15-B23)*Model!$C$8*Model!$C$14*Model!$C$7</f>
        <v/>
      </c>
      <c r="D23" s="22">
        <f>IF(C23&lt;=0,"nooit",Model!$C$45/C23)</f>
        <v/>
      </c>
    </row>
    <row r="26">
      <c r="B26" s="5" t="inlineStr">
        <is>
          <t>C. ONDERNEMINGSGROOTTE — WAT DE MKB-TOETS WAARD IS</t>
        </is>
      </c>
      <c r="C26" s="5" t="n"/>
      <c r="D26" s="5" t="n"/>
      <c r="E26" s="5" t="n"/>
    </row>
    <row r="27">
      <c r="B27" s="14" t="inlineStr">
        <is>
          <t>Grootte</t>
        </is>
      </c>
      <c r="C27" s="14" t="inlineStr">
        <is>
          <t>AanZET totaal</t>
        </is>
      </c>
      <c r="D27" s="14" t="inlineStr">
        <is>
          <t>Extra investering</t>
        </is>
      </c>
      <c r="E27" s="14" t="inlineStr">
        <is>
          <t>Terugverdientijd (jaren)</t>
        </is>
      </c>
    </row>
    <row r="28">
      <c r="B28" s="6">
        <f>Model!$B$27</f>
        <v/>
      </c>
      <c r="C28" s="19">
        <f>MIN(Model!$C$10*Model!$C$27,Model!$D$27)*Model!$C$7</f>
        <v/>
      </c>
      <c r="D28" s="19">
        <f>(Model!$C$39-MIN(Model!$C$10*Model!$C$27,Model!$D$27)-MAX(0,Model!$C$39-MIN(Model!$C$10*Model!$C$27,Model!$D$27))*Model!$C$21*Model!$C$20)*Model!$C$7+Model!$C$44</f>
        <v/>
      </c>
      <c r="E28" s="22">
        <f>IF(Model!$C$57&lt;=0,"nooit",D28/Model!$C$57)</f>
        <v/>
      </c>
    </row>
    <row r="29">
      <c r="B29" s="6">
        <f>Model!$B$28</f>
        <v/>
      </c>
      <c r="C29" s="19">
        <f>MIN(Model!$C$10*Model!$C$28,Model!$D$28)*Model!$C$7</f>
        <v/>
      </c>
      <c r="D29" s="19">
        <f>(Model!$C$39-MIN(Model!$C$10*Model!$C$28,Model!$D$28)-MAX(0,Model!$C$39-MIN(Model!$C$10*Model!$C$28,Model!$D$28))*Model!$C$21*Model!$C$20)*Model!$C$7+Model!$C$44</f>
        <v/>
      </c>
      <c r="E29" s="22">
        <f>IF(Model!$C$57&lt;=0,"nooit",D29/Model!$C$57)</f>
        <v/>
      </c>
    </row>
    <row r="30">
      <c r="B30" s="6">
        <f>Model!$B$29</f>
        <v/>
      </c>
      <c r="C30" s="19">
        <f>MIN(Model!$C$10*Model!$C$29,Model!$D$29)*Model!$C$7</f>
        <v/>
      </c>
      <c r="D30" s="19">
        <f>(Model!$C$39-MIN(Model!$C$10*Model!$C$29,Model!$D$29)-MAX(0,Model!$C$39-MIN(Model!$C$10*Model!$C$29,Model!$D$29))*Model!$C$21*Model!$C$20)*Model!$C$7+Model!$C$44</f>
        <v/>
      </c>
      <c r="E30" s="22">
        <f>IF(Model!$C$57&lt;=0,"nooit",D30/Model!$C$57)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2026-08-01T15:13:47Z</dcterms:created>
  <dcterms:modified xsi:type="dcterms:W3CDTF">2026-08-01T15:24:05Z</dcterms:modified>
</cp:coreProperties>
</file>