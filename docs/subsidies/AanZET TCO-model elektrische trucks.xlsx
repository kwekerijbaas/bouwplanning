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€#,##0;(€#,##0);-"/>
    <numFmt numFmtId="165" formatCode="#,##0.0"/>
    <numFmt numFmtId="166" formatCode="€#,##0.0000"/>
    <numFmt numFmtId="167" formatCode="€#,##0.00;(€#,##0.00);-"/>
    <numFmt numFmtId="168" formatCode="0.0%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  <font>
      <name val="Arial"/>
      <b val="1"/>
      <sz val="11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7" fillId="3" borderId="0" pivotButton="0" quotePrefix="0" xfId="0"/>
    <xf numFmtId="166" fontId="6" fillId="0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164" fontId="6" fillId="0" borderId="0" pivotButton="0" quotePrefix="0" xfId="0"/>
    <xf numFmtId="49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8" fontId="6" fillId="0" borderId="0" pivotButton="0" quotePrefix="0" xfId="0"/>
    <xf numFmtId="164" fontId="3" fillId="0" borderId="0" pivotButton="0" quotePrefix="0" xfId="0"/>
    <xf numFmtId="49" fontId="6" fillId="0" borderId="0" pivotButton="0" quotePrefix="0" xfId="0"/>
    <xf numFmtId="3" fontId="6" fillId="0" borderId="0" pivotButton="0" quotePrefix="0" xfId="0"/>
    <xf numFmtId="165" fontId="3" fillId="0" borderId="0" pivotButton="0" quotePrefix="0" xfId="0"/>
    <xf numFmtId="165" fontId="9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119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3" customWidth="1" min="4" max="4"/>
    <col width="104" customWidth="1" min="5" max="5"/>
  </cols>
  <sheetData>
    <row r="1">
      <c r="B1" s="1" t="inlineStr">
        <is>
          <t>TCO elektrische vrachtwagens — Kwekerij Baas</t>
        </is>
      </c>
    </row>
    <row r="2">
      <c r="B2" s="2" t="inlineStr">
        <is>
          <t>Bronnen: Panteia TCO-ZET-Vracht v7.3 · Volvo Electric Range Simulator 18-08-2026 · Volvo calculatietool diesel/LNG/electric · opgaven Kwekerij Baas</t>
        </is>
      </c>
    </row>
    <row r="4">
      <c r="B4" s="3" t="inlineStr">
        <is>
          <t>Legenda:</t>
        </is>
      </c>
      <c r="C4" s="4" t="inlineStr">
        <is>
          <t>Geel/blauw = invoer · zwart = formule · groen = uit het blad Panteia-parameters</t>
        </is>
      </c>
    </row>
    <row r="6">
      <c r="B6" s="5" t="inlineStr">
        <is>
          <t>1. ALGEMEEN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Opgave Kwekerij Baas, bevestigd 21-08-2026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60 medewerkers, € 22 mln omzet → middelgroot. Klein bij &lt; 50 arbeidsjaren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Stuurt verbruik, banden, MRB en AanZET-categorie aan</t>
        </is>
      </c>
    </row>
    <row r="11">
      <c r="B11" s="6" t="inlineStr">
        <is>
          <t>Economische levensduur (jaren)</t>
        </is>
      </c>
      <c r="C11" s="7" t="n">
        <v>5</v>
      </c>
      <c r="E11" s="2" t="inlineStr">
        <is>
          <t>Volvo calculatietool: 60 maanden. Panteia hanteert 7 jaar</t>
        </is>
      </c>
    </row>
    <row r="13">
      <c r="B13" s="5" t="inlineStr">
        <is>
          <t>2. VOERTUIGPRIJZEN EN RESTWAARDE</t>
        </is>
      </c>
      <c r="C13" s="5" t="n"/>
      <c r="D13" s="5" t="n"/>
      <c r="E13" s="5" t="n"/>
      <c r="F13" s="5" t="n"/>
      <c r="G13" s="5" t="n"/>
    </row>
    <row r="14">
      <c r="B14" s="6" t="inlineStr">
        <is>
          <t>Bruto aanschafprijs e-truck</t>
        </is>
      </c>
      <c r="C14" s="9" t="n">
        <v>300000</v>
      </c>
      <c r="E14" s="2" t="inlineStr">
        <is>
          <t>Opgave Nijwa: FH Aero Electric 4x2. De 6x2 kost € 320.000</t>
        </is>
      </c>
    </row>
    <row r="15">
      <c r="B15" s="6" t="inlineStr">
        <is>
          <t>Bruto aanschafprijs vergelijkbare diesel</t>
        </is>
      </c>
      <c r="C15" s="9" t="n">
        <v>150000</v>
      </c>
      <c r="E15" s="2" t="inlineStr">
        <is>
          <t>Volvo calculatietool</t>
        </is>
      </c>
    </row>
    <row r="16">
      <c r="B16" s="6" t="inlineStr">
        <is>
          <t>Restwaarde e-truck</t>
        </is>
      </c>
      <c r="C16" s="9" t="n">
        <v>20000</v>
      </c>
      <c r="E16" s="2" t="inlineStr">
        <is>
          <t>Volvo calculatietool — 6,7% van de nieuwprijs na 5 jaar / 500.000 km</t>
        </is>
      </c>
    </row>
    <row r="17">
      <c r="B17" s="6" t="inlineStr">
        <is>
          <t>Restwaarde dieseltruck</t>
        </is>
      </c>
      <c r="C17" s="9" t="n">
        <v>25000</v>
      </c>
      <c r="E17" s="2" t="inlineStr">
        <is>
          <t>Volvo calculatietool — 16,7% na 5 jaar</t>
        </is>
      </c>
    </row>
    <row r="19">
      <c r="B19" s="5" t="inlineStr">
        <is>
          <t>3. ENERGIE</t>
        </is>
      </c>
      <c r="C19" s="5" t="n"/>
      <c r="D19" s="5" t="n"/>
      <c r="E19" s="5" t="n"/>
      <c r="F19" s="5" t="n"/>
      <c r="G19" s="5" t="n"/>
    </row>
    <row r="20">
      <c r="B20" s="6" t="inlineStr">
        <is>
          <t>Dieselverbruik — 1 op ...</t>
        </is>
      </c>
      <c r="C20" s="10" t="n">
        <v>3.8</v>
      </c>
      <c r="E20" s="2" t="inlineStr">
        <is>
          <t>Opgave Kwekerij Baas. Volvo rekent met 25 l/100 km = 1 op 4,0</t>
        </is>
      </c>
    </row>
    <row r="21">
      <c r="B21" s="6" t="inlineStr">
        <is>
          <t xml:space="preserve">  → liter per km</t>
        </is>
      </c>
      <c r="C21" s="11">
        <f>IF($C$20=0,0,1/$C$20)</f>
        <v/>
      </c>
    </row>
    <row r="22">
      <c r="B22" s="6" t="inlineStr">
        <is>
          <t>Netto dieselprijs per liter</t>
        </is>
      </c>
      <c r="C22" s="12" t="n">
        <v>1.7</v>
      </c>
      <c r="E22" s="2" t="inlineStr">
        <is>
          <t>Opgave Kwekerij Baas. Volvo rekent met € 1,77</t>
        </is>
      </c>
    </row>
    <row r="23">
      <c r="B23" s="6" t="inlineStr">
        <is>
          <t>Aandeel eigen opwek</t>
        </is>
      </c>
      <c r="C23" s="13" t="n">
        <v>1</v>
      </c>
      <c r="E23" s="2" t="inlineStr">
        <is>
          <t>Opgave Kwekerij Baas — ORC</t>
        </is>
      </c>
    </row>
    <row r="24">
      <c r="B24" s="6" t="inlineStr">
        <is>
          <t>Prijs eigen opwek per kWh</t>
        </is>
      </c>
      <c r="C24" s="12" t="n">
        <v>0.1</v>
      </c>
      <c r="E24" s="2" t="inlineStr">
        <is>
          <t>Opgave Kwekerij Baas</t>
        </is>
      </c>
    </row>
    <row r="25">
      <c r="B25" s="6" t="inlineStr">
        <is>
          <t>Prijs netstroom per kWh</t>
        </is>
      </c>
      <c r="C25" s="12" t="n">
        <v>0.2154</v>
      </c>
      <c r="E25" s="2" t="inlineStr">
        <is>
          <t>Panteia. Volvo rekent met € 0,30</t>
        </is>
      </c>
    </row>
    <row r="26">
      <c r="B26" s="6" t="inlineStr">
        <is>
          <t xml:space="preserve">  → gemengde stroomprijs</t>
        </is>
      </c>
      <c r="C26" s="14">
        <f>$C$23*$C$24+(1-$C$23)*$C$25</f>
        <v/>
      </c>
    </row>
    <row r="27">
      <c r="B27" s="6" t="inlineStr">
        <is>
          <t>AdBlue per jaar (diesel)</t>
        </is>
      </c>
      <c r="C27" s="15">
        <f>$C$8/100*2.5*0.73</f>
        <v/>
      </c>
      <c r="E27" s="2" t="inlineStr">
        <is>
          <t>Volvo: 2,5 l per 100 km à € 0,73</t>
        </is>
      </c>
    </row>
    <row r="29">
      <c r="B29" s="5" t="inlineStr">
        <is>
          <t>4. HEFFINGEN, ONDERHOUD EN OVERIG</t>
        </is>
      </c>
      <c r="C29" s="5" t="n"/>
      <c r="D29" s="5" t="n"/>
      <c r="E29" s="5" t="n"/>
      <c r="F29" s="5" t="n"/>
      <c r="G29" s="5" t="n"/>
    </row>
    <row r="30">
      <c r="B30" s="6" t="inlineStr">
        <is>
          <t>Tolkilometers Nederland per jaar</t>
        </is>
      </c>
      <c r="C30" s="7" t="n">
        <v>70000</v>
      </c>
      <c r="E30" s="2" t="inlineStr">
        <is>
          <t>Volvo calculatietool — niet elke kilometer is tolplichtig</t>
        </is>
      </c>
    </row>
    <row r="31">
      <c r="B31" s="6" t="inlineStr">
        <is>
          <t>Vrachtwagenheffing diesel (€/km)</t>
        </is>
      </c>
      <c r="C31" s="12" t="n">
        <v>0.201</v>
      </c>
      <c r="E31" s="2" t="inlineStr">
        <is>
          <t>Volvo 2026-tarief, CO2-klasse 1</t>
        </is>
      </c>
    </row>
    <row r="32">
      <c r="B32" s="6" t="inlineStr">
        <is>
          <t>Vrachtwagenheffing zero-emissie (€/km)</t>
        </is>
      </c>
      <c r="C32" s="12" t="n">
        <v>0.038</v>
      </c>
      <c r="E32" s="2" t="inlineStr">
        <is>
          <t>Volvo 2026-tarief, CO2-klasse 5</t>
        </is>
      </c>
    </row>
    <row r="33">
      <c r="B33" s="6" t="inlineStr">
        <is>
          <t>Tolkilometers Duitsland per jaar</t>
        </is>
      </c>
      <c r="C33" s="7" t="n">
        <v>10000</v>
      </c>
      <c r="E33" s="2" t="inlineStr">
        <is>
          <t>Volvo calculatietool. Bij ritten uitsluitend in NL is dit 0</t>
        </is>
      </c>
    </row>
    <row r="34">
      <c r="B34" s="6" t="inlineStr">
        <is>
          <t>MAUT diesel (€/km)</t>
        </is>
      </c>
      <c r="C34" s="12" t="n">
        <v>0.348</v>
      </c>
      <c r="E34" s="2" t="inlineStr">
        <is>
          <t>Volvo 2026-tarief</t>
        </is>
      </c>
    </row>
    <row r="35">
      <c r="B35" s="6" t="inlineStr">
        <is>
          <t>MAUT zero-emissie (€/km)</t>
        </is>
      </c>
      <c r="C35" s="12" t="n">
        <v>0</v>
      </c>
      <c r="E35" s="2" t="inlineStr">
        <is>
          <t>Zero-emissie is vrijgesteld</t>
        </is>
      </c>
    </row>
    <row r="36">
      <c r="B36" s="6" t="inlineStr">
        <is>
          <t>Onderhoud + reparatie diesel per jaar</t>
        </is>
      </c>
      <c r="C36" s="9" t="n">
        <v>7200</v>
      </c>
      <c r="E36" s="2" t="inlineStr">
        <is>
          <t>Volvo: € 600 per maand. Panteia komt op € 10.818</t>
        </is>
      </c>
    </row>
    <row r="37">
      <c r="B37" s="6" t="inlineStr">
        <is>
          <t>Onderhoud + reparatie elektrisch per jaar</t>
        </is>
      </c>
      <c r="C37" s="9" t="n">
        <v>7740</v>
      </c>
      <c r="E37" s="2" t="inlineStr">
        <is>
          <t>Volvo: € 645 per maand — DUURDER dan diesel. Panteia komt juist op € 6.236. Zie doc §6.7d</t>
        </is>
      </c>
    </row>
    <row r="38">
      <c r="B38" s="6" t="inlineStr">
        <is>
          <t>Extra chauffeurskosten elektrisch per jaar</t>
        </is>
      </c>
      <c r="C38" s="9" t="n">
        <v>3655</v>
      </c>
      <c r="E38" s="2" t="inlineStr">
        <is>
          <t>Wachttijd bij laden; Panteia rekent +4,1%</t>
        </is>
      </c>
    </row>
    <row r="40">
      <c r="B40" s="5" t="inlineStr">
        <is>
          <t>5. SUBSIDIE, FISCAAL EN LAADINFRASTRUCTUUR</t>
        </is>
      </c>
      <c r="C40" s="5" t="n"/>
      <c r="D40" s="5" t="n"/>
      <c r="E40" s="5" t="n"/>
      <c r="F40" s="5" t="n"/>
      <c r="G40" s="5" t="n"/>
    </row>
    <row r="41">
      <c r="B41" s="6" t="inlineStr">
        <is>
          <t>Vennootschapsbelasting</t>
        </is>
      </c>
      <c r="C41" s="13" t="n">
        <v>0.258</v>
      </c>
      <c r="E41" s="2" t="inlineStr">
        <is>
          <t>Tarief 2026</t>
        </is>
      </c>
    </row>
    <row r="42">
      <c r="B42" s="6" t="inlineStr">
        <is>
          <t>EIA-aftrekpercentage</t>
        </is>
      </c>
      <c r="C42" s="13" t="n">
        <v>0.4</v>
      </c>
      <c r="E42" s="2" t="inlineStr">
        <is>
          <t>EIA 2026</t>
        </is>
      </c>
    </row>
    <row r="43">
      <c r="B43" s="6" t="inlineStr">
        <is>
          <t>EIA-grondslag = volledige aanschafprijs?</t>
        </is>
      </c>
      <c r="C43" s="8" t="inlineStr">
        <is>
          <t>Nee</t>
        </is>
      </c>
      <c r="E43" s="2" t="inlineStr">
        <is>
          <t>Nee = alleen de meerprijs (voorzichtig)</t>
        </is>
      </c>
    </row>
    <row r="44">
      <c r="B44" s="6" t="inlineStr">
        <is>
          <t>Investering laadinfrastructuur (bruto)</t>
        </is>
      </c>
      <c r="C44" s="9" t="n">
        <v>461500</v>
      </c>
      <c r="E44" s="2" t="inlineStr">
        <is>
          <t>Offerte Draccu DR283</t>
        </is>
      </c>
    </row>
    <row r="45">
      <c r="B45" s="6" t="inlineStr">
        <is>
          <t>SPRILA-subsidie</t>
        </is>
      </c>
      <c r="C45" s="9" t="n">
        <v>178000</v>
      </c>
      <c r="E45" s="2" t="inlineStr">
        <is>
          <t>TOEGEKEND 21-08-2026, beschikking SPRILA26-04007812</t>
        </is>
      </c>
    </row>
    <row r="46">
      <c r="B46" s="6" t="inlineStr">
        <is>
          <t>Restwaarde laadinfrastructuur</t>
        </is>
      </c>
      <c r="C46" s="9" t="n">
        <v>92300</v>
      </c>
      <c r="E46" s="2" t="inlineStr">
        <is>
          <t>20% van bruto. Alleen de hardware heeft restwaarde; het aanlegwerk niet</t>
        </is>
      </c>
    </row>
    <row r="47">
      <c r="B47" s="6" t="inlineStr">
        <is>
          <t>ERE-waarde per geladen kWh</t>
        </is>
      </c>
      <c r="C47" s="12" t="n">
        <v>0.08</v>
      </c>
      <c r="E47" s="2" t="inlineStr">
        <is>
          <t>Netstroom: € 0,07–0,10 (netmix telt voor ca. 50% hernieuwbaar). Aantoonbaar eigen zon verdubbelt dit</t>
        </is>
      </c>
    </row>
    <row r="48">
      <c r="B48" s="6" t="inlineStr">
        <is>
          <t>Commissie inboekdienstverlener</t>
        </is>
      </c>
      <c r="C48" s="13" t="n">
        <v>0.15</v>
      </c>
      <c r="E48" s="2" t="inlineStr">
        <is>
          <t>AANNAME — offertes opvragen</t>
        </is>
      </c>
    </row>
    <row r="49">
      <c r="B49" s="6" t="inlineStr">
        <is>
          <t>Disconteringsvoet voor contante waarde</t>
        </is>
      </c>
      <c r="C49" s="13" t="n">
        <v>0.06</v>
      </c>
      <c r="E49" s="2" t="inlineStr">
        <is>
          <t>Volvo rekent met 6% rente</t>
        </is>
      </c>
    </row>
    <row r="51">
      <c r="B51" s="5" t="inlineStr">
        <is>
          <t>6. UIT HET VOERTUIGTYPE (Panteia)</t>
        </is>
      </c>
      <c r="C51" s="5" t="n"/>
      <c r="D51" s="5" t="n"/>
      <c r="E51" s="5" t="n"/>
      <c r="F51" s="5" t="n"/>
      <c r="G51" s="5" t="n"/>
    </row>
    <row r="52">
      <c r="B52" s="6" t="inlineStr">
        <is>
          <t>AanZET-categorie</t>
        </is>
      </c>
      <c r="C52" s="16">
        <f>INDEX('Panteia-parameters'!$H$6:$H$10,MATCH($C$10,'Panteia-parameters'!$B$6:$B$10,0))</f>
        <v/>
      </c>
    </row>
    <row r="53">
      <c r="B53" s="6" t="inlineStr">
        <is>
          <t>Stroomverbruik e-truck (kWh/km)</t>
        </is>
      </c>
      <c r="C53" s="17">
        <f>INDEX('Panteia-parameters'!$C$6:$C$10,MATCH($C$10,'Panteia-parameters'!$B$6:$B$10,0))</f>
        <v/>
      </c>
      <c r="E53" s="2" t="inlineStr">
        <is>
          <t>Volvo ERS, incl. laadverlies</t>
        </is>
      </c>
    </row>
    <row r="54">
      <c r="B54" s="6" t="inlineStr">
        <is>
          <t>Banden (€/km, beide)</t>
        </is>
      </c>
      <c r="C54" s="18">
        <f>INDEX('Panteia-parameters'!$D$6:$D$10,MATCH($C$10,'Panteia-parameters'!$B$6:$B$10,0))</f>
        <v/>
      </c>
    </row>
    <row r="55">
      <c r="B55" s="6" t="inlineStr">
        <is>
          <t>Motorrijtuigenbelasting per jaar (beide)</t>
        </is>
      </c>
      <c r="C55" s="19">
        <f>INDEX('Panteia-parameters'!$E$6:$E$10,MATCH($C$10,'Panteia-parameters'!$B$6:$B$10,0))</f>
        <v/>
      </c>
    </row>
    <row r="57">
      <c r="B57" s="5" t="inlineStr">
        <is>
          <t>7. AANZET-SUBSIDIE</t>
        </is>
      </c>
      <c r="C57" s="5" t="n"/>
      <c r="D57" s="5" t="n"/>
      <c r="E57" s="5" t="n"/>
      <c r="F57" s="5" t="n"/>
      <c r="G57" s="5" t="n"/>
    </row>
    <row r="58">
      <c r="B58" s="6" t="inlineStr">
        <is>
          <t>Subsidiepercentage</t>
        </is>
      </c>
      <c r="C58" s="20">
        <f>SUMIFS('Panteia-parameters'!$E$16:$E$27,'Panteia-parameters'!$C$16:$C$27,$C$52,'Panteia-parameters'!$D$16:$D$27,$C$9)</f>
        <v/>
      </c>
    </row>
    <row r="59">
      <c r="B59" s="6" t="inlineStr">
        <is>
          <t>Maximum per voertuig</t>
        </is>
      </c>
      <c r="C59" s="15">
        <f>SUMIFS('Panteia-parameters'!$F$16:$F$27,'Panteia-parameters'!$C$16:$C$27,$C$52,'Panteia-parameters'!$D$16:$D$27,$C$9)</f>
        <v/>
      </c>
    </row>
    <row r="60">
      <c r="B60" s="6" t="inlineStr">
        <is>
          <t>Meerprijs t.o.v. diesel</t>
        </is>
      </c>
      <c r="C60" s="15">
        <f>MAX(0,$C$14-$C$15)</f>
        <v/>
      </c>
    </row>
    <row r="61">
      <c r="B61" s="6" t="inlineStr">
        <is>
          <t>Staatssteunplafond (% van meerprijs)</t>
        </is>
      </c>
      <c r="C61" s="20">
        <f>INDEX('Panteia-parameters'!$D$31:$D$33,MATCH($C$9,'Panteia-parameters'!$C$31:$C$33,0))</f>
        <v/>
      </c>
    </row>
    <row r="62">
      <c r="B62" s="6" t="inlineStr">
        <is>
          <t>Staatssteunplafond in euro</t>
        </is>
      </c>
      <c r="C62" s="15">
        <f>C61*C60</f>
        <v/>
      </c>
    </row>
    <row r="63">
      <c r="B63" s="6" t="inlineStr">
        <is>
          <t>AanZET per truck</t>
        </is>
      </c>
      <c r="C63" s="21">
        <f>MIN($C$14*C58,C59,C62)</f>
        <v/>
      </c>
    </row>
    <row r="64">
      <c r="B64" s="6" t="inlineStr">
        <is>
          <t>AanZET totaal</t>
        </is>
      </c>
      <c r="C64" s="21">
        <f>C63*$C$7</f>
        <v/>
      </c>
    </row>
    <row r="65">
      <c r="B65" s="6" t="inlineStr">
        <is>
          <t>Welk plafond bijt?</t>
        </is>
      </c>
      <c r="C65" s="22">
        <f>IF(C63=C62,"staatssteunplafond",IF(C63=C59,"maximum per voertuig","percentage"))</f>
        <v/>
      </c>
    </row>
    <row r="67">
      <c r="B67" s="5" t="inlineStr">
        <is>
          <t>8. EXTRA INVESTERING</t>
        </is>
      </c>
      <c r="C67" s="5" t="n"/>
      <c r="D67" s="5" t="n"/>
      <c r="E67" s="5" t="n"/>
      <c r="F67" s="5" t="n"/>
      <c r="G67" s="5" t="n"/>
    </row>
    <row r="68">
      <c r="B68" s="6" t="inlineStr">
        <is>
          <t>Meerprijs per truck</t>
        </is>
      </c>
      <c r="C68" s="15">
        <f>C60</f>
        <v/>
      </c>
    </row>
    <row r="69">
      <c r="B69" s="6" t="inlineStr">
        <is>
          <t>EIA-grondslag per truck</t>
        </is>
      </c>
      <c r="C69" s="15">
        <f>MAX(0,IF($C$43="Ja",$C$14,C68)-C63)</f>
        <v/>
      </c>
    </row>
    <row r="70">
      <c r="B70" s="6" t="inlineStr">
        <is>
          <t>EIA-voordeel per truck</t>
        </is>
      </c>
      <c r="C70" s="15">
        <f>C69*$C$42*$C$41</f>
        <v/>
      </c>
    </row>
    <row r="71">
      <c r="B71" s="6" t="inlineStr">
        <is>
          <t>Netto meerprijs per truck</t>
        </is>
      </c>
      <c r="C71" s="15">
        <f>C68-C63-C70</f>
        <v/>
      </c>
    </row>
    <row r="72">
      <c r="B72" s="6" t="inlineStr">
        <is>
          <t>Netto meerprijs alle trucks</t>
        </is>
      </c>
      <c r="C72" s="15">
        <f>C71*$C$7</f>
        <v/>
      </c>
    </row>
    <row r="73">
      <c r="B73" s="6" t="inlineStr">
        <is>
          <t>Laadinfrastructuur na SPRILA</t>
        </is>
      </c>
      <c r="C73" s="15">
        <f>$C$44-$C$45</f>
        <v/>
      </c>
    </row>
    <row r="74">
      <c r="B74" s="6" t="inlineStr">
        <is>
          <t>TOTALE EXTRA INVESTERING</t>
        </is>
      </c>
      <c r="C74" s="21">
        <f>C72+C73</f>
        <v/>
      </c>
    </row>
    <row r="76">
      <c r="B76" s="5" t="inlineStr">
        <is>
          <t>9. JAARLIJKSE EXPLOITATIEKOSTEN PER TRUCK</t>
        </is>
      </c>
      <c r="C76" s="5" t="n"/>
      <c r="D76" s="5" t="n"/>
      <c r="E76" s="5" t="n"/>
      <c r="F76" s="5" t="n"/>
      <c r="G76" s="5" t="n"/>
    </row>
    <row r="77">
      <c r="B77" s="6" t="inlineStr">
        <is>
          <t>Diesel — brandstof</t>
        </is>
      </c>
      <c r="C77" s="15">
        <f>$C$8*$C$21*$C$22</f>
        <v/>
      </c>
    </row>
    <row r="78">
      <c r="B78" s="6" t="inlineStr">
        <is>
          <t>Diesel — AdBlue</t>
        </is>
      </c>
      <c r="C78" s="15">
        <f>$C$27</f>
        <v/>
      </c>
    </row>
    <row r="79">
      <c r="B79" s="6" t="inlineStr">
        <is>
          <t>Diesel — vrachtwagenheffing NL</t>
        </is>
      </c>
      <c r="C79" s="15">
        <f>$C$30*$C$31</f>
        <v/>
      </c>
    </row>
    <row r="80">
      <c r="B80" s="6" t="inlineStr">
        <is>
          <t>Diesel — MAUT Duitsland</t>
        </is>
      </c>
      <c r="C80" s="15">
        <f>$C$33*$C$34</f>
        <v/>
      </c>
    </row>
    <row r="81">
      <c r="B81" s="6" t="inlineStr">
        <is>
          <t>Diesel — onderhoud en reparatie</t>
        </is>
      </c>
      <c r="C81" s="15">
        <f>$C$36</f>
        <v/>
      </c>
    </row>
    <row r="82">
      <c r="B82" s="6" t="inlineStr">
        <is>
          <t>Diesel — banden</t>
        </is>
      </c>
      <c r="C82" s="15">
        <f>$C$8*C54</f>
        <v/>
      </c>
    </row>
    <row r="83">
      <c r="B83" s="6" t="inlineStr">
        <is>
          <t>Diesel — motorrijtuigenbelasting</t>
        </is>
      </c>
      <c r="C83" s="15">
        <f>C55</f>
        <v/>
      </c>
    </row>
    <row r="84">
      <c r="B84" s="6" t="inlineStr">
        <is>
          <t>Diesel totaal</t>
        </is>
      </c>
      <c r="C84" s="21">
        <f>SUM(C77:C83)</f>
        <v/>
      </c>
    </row>
    <row r="85">
      <c r="B85" s="6" t="inlineStr">
        <is>
          <t>Elektrisch — stroom</t>
        </is>
      </c>
      <c r="C85" s="15">
        <f>$C$8*C53*$C$26</f>
        <v/>
      </c>
    </row>
    <row r="86">
      <c r="B86" s="6" t="inlineStr">
        <is>
          <t>Elektrisch — vrachtwagenheffing NL</t>
        </is>
      </c>
      <c r="C86" s="15">
        <f>$C$30*$C$32</f>
        <v/>
      </c>
    </row>
    <row r="87">
      <c r="B87" s="6" t="inlineStr">
        <is>
          <t>Elektrisch — MAUT Duitsland</t>
        </is>
      </c>
      <c r="C87" s="15">
        <f>$C$33*$C$35</f>
        <v/>
      </c>
    </row>
    <row r="88">
      <c r="B88" s="6" t="inlineStr">
        <is>
          <t>Elektrisch — onderhoud en reparatie</t>
        </is>
      </c>
      <c r="C88" s="15">
        <f>$C$37</f>
        <v/>
      </c>
    </row>
    <row r="89">
      <c r="B89" s="6" t="inlineStr">
        <is>
          <t>Elektrisch — banden</t>
        </is>
      </c>
      <c r="C89" s="15">
        <f>$C$8*C54</f>
        <v/>
      </c>
    </row>
    <row r="90">
      <c r="B90" s="6" t="inlineStr">
        <is>
          <t>Elektrisch — motorrijtuigenbelasting</t>
        </is>
      </c>
      <c r="C90" s="15">
        <f>C55</f>
        <v/>
      </c>
    </row>
    <row r="91">
      <c r="B91" s="6" t="inlineStr">
        <is>
          <t>Elektrisch — extra chauffeurskosten</t>
        </is>
      </c>
      <c r="C91" s="15">
        <f>$C$38</f>
        <v/>
      </c>
    </row>
    <row r="92">
      <c r="B92" s="6" t="inlineStr">
        <is>
          <t>Elektrisch totaal</t>
        </is>
      </c>
      <c r="C92" s="21">
        <f>SUM(C85:C91)</f>
        <v/>
      </c>
    </row>
    <row r="93">
      <c r="B93" s="6" t="inlineStr">
        <is>
          <t>Besparing per truck per jaar</t>
        </is>
      </c>
      <c r="C93" s="15">
        <f>C84-C92</f>
        <v/>
      </c>
    </row>
    <row r="94">
      <c r="B94" s="6" t="inlineStr">
        <is>
          <t>Besparing alle trucks per jaar</t>
        </is>
      </c>
      <c r="C94" s="21">
        <f>C93*$C$7</f>
        <v/>
      </c>
    </row>
    <row r="96">
      <c r="B96" s="5" t="inlineStr">
        <is>
          <t>10. ERE</t>
        </is>
      </c>
      <c r="C96" s="5" t="n"/>
      <c r="D96" s="5" t="n"/>
      <c r="E96" s="5" t="n"/>
      <c r="F96" s="5" t="n"/>
      <c r="G96" s="5" t="n"/>
    </row>
    <row r="97">
      <c r="B97" s="6" t="inlineStr">
        <is>
          <t>Geladen kWh per jaar (beide trucks)</t>
        </is>
      </c>
      <c r="C97" s="23">
        <f>$C$8*C53*$C$7</f>
        <v/>
      </c>
    </row>
    <row r="98">
      <c r="B98" s="6" t="inlineStr">
        <is>
          <t>Bruto ERE-opbrengst per jaar</t>
        </is>
      </c>
      <c r="C98" s="15">
        <f>C97*$C$47</f>
        <v/>
      </c>
    </row>
    <row r="99">
      <c r="B99" s="6" t="inlineStr">
        <is>
          <t>Netto ERE-opbrengst per jaar</t>
        </is>
      </c>
      <c r="C99" s="21">
        <f>C98*(1-$C$48)</f>
        <v/>
      </c>
    </row>
    <row r="101">
      <c r="B101" s="5" t="inlineStr">
        <is>
          <t>11. RESTWAARDE</t>
        </is>
      </c>
      <c r="C101" s="5" t="n"/>
      <c r="D101" s="5" t="n"/>
      <c r="E101" s="5" t="n"/>
      <c r="F101" s="5" t="n"/>
      <c r="G101" s="5" t="n"/>
    </row>
    <row r="102">
      <c r="B102" s="6" t="inlineStr">
        <is>
          <t>Restwaarde e-trucks</t>
        </is>
      </c>
      <c r="C102" s="15">
        <f>$C$16*$C$7</f>
        <v/>
      </c>
    </row>
    <row r="103">
      <c r="B103" s="6" t="inlineStr">
        <is>
          <t>Af: gederfde restwaarde dieseltrucks</t>
        </is>
      </c>
      <c r="C103" s="15">
        <f>-$C$17*$C$7</f>
        <v/>
      </c>
    </row>
    <row r="104">
      <c r="B104" s="6" t="inlineStr">
        <is>
          <t>Restwaarde laadinfrastructuur</t>
        </is>
      </c>
      <c r="C104" s="15">
        <f>$C$46</f>
        <v/>
      </c>
    </row>
    <row r="105">
      <c r="B105" s="6" t="inlineStr">
        <is>
          <t>Totale extra restwaarde (aan het einde)</t>
        </is>
      </c>
      <c r="C105" s="21">
        <f>SUM(C102:C104)</f>
        <v/>
      </c>
    </row>
    <row r="106">
      <c r="B106" s="6" t="inlineStr">
        <is>
          <t>Omgeslagen per jaar</t>
        </is>
      </c>
      <c r="C106" s="15">
        <f>IF($C$11&lt;=0,0,C105/$C$11)</f>
        <v/>
      </c>
      <c r="E106" s="2" t="inlineStr">
        <is>
          <t>Komt pas vrij bij verkoop, niet elk jaar in kas</t>
        </is>
      </c>
    </row>
    <row r="108">
      <c r="B108" s="5" t="inlineStr">
        <is>
          <t>12. UITKOMST</t>
        </is>
      </c>
      <c r="C108" s="5" t="n"/>
      <c r="D108" s="5" t="n"/>
      <c r="E108" s="5" t="n"/>
      <c r="F108" s="5" t="n"/>
      <c r="G108" s="5" t="n"/>
    </row>
    <row r="109">
      <c r="B109" s="6" t="inlineStr">
        <is>
          <t>Totale extra investering</t>
        </is>
      </c>
      <c r="C109" s="15">
        <f>C74</f>
        <v/>
      </c>
    </row>
    <row r="110">
      <c r="B110" s="6" t="inlineStr">
        <is>
          <t>Besparing per jaar (exploitatie + ERE)</t>
        </is>
      </c>
      <c r="C110" s="15">
        <f>C94+C99</f>
        <v/>
      </c>
    </row>
    <row r="111">
      <c r="B111" s="6" t="inlineStr">
        <is>
          <t>Terugverdientijd zonder restwaarde</t>
        </is>
      </c>
      <c r="C111" s="24">
        <f>IF(C110&lt;=0,"nooit",C74/C110)</f>
        <v/>
      </c>
    </row>
    <row r="112">
      <c r="B112" s="6" t="inlineStr">
        <is>
          <t>Besparing per jaar inclusief restwaarde</t>
        </is>
      </c>
      <c r="C112" s="15">
        <f>C110+C106</f>
        <v/>
      </c>
    </row>
    <row r="113">
      <c r="B113" s="6" t="inlineStr">
        <is>
          <t>TERUGVERDIENTIJD MET RESTWAARDE</t>
        </is>
      </c>
      <c r="C113" s="25">
        <f>IF(C112&lt;=0,"nooit",C74/C112)</f>
        <v/>
      </c>
    </row>
    <row r="115">
      <c r="B115" s="5" t="inlineStr">
        <is>
          <t>13. CONTANTE WAARDE OVER DE LEVENSDUUR</t>
        </is>
      </c>
      <c r="C115" s="5" t="n"/>
      <c r="D115" s="5" t="n"/>
      <c r="E115" s="5" t="n"/>
      <c r="F115" s="5" t="n"/>
      <c r="G115" s="5" t="n"/>
    </row>
    <row r="116">
      <c r="B116" s="6" t="inlineStr">
        <is>
          <t>Contante waarde van de jaarbesparingen</t>
        </is>
      </c>
      <c r="C116" s="15">
        <f>IF($C$49=0,C110*$C$11,C110*(1-(1+$C$49)^-$C$11)/$C$49)</f>
        <v/>
      </c>
    </row>
    <row r="117">
      <c r="B117" s="6" t="inlineStr">
        <is>
          <t>Contante waarde van de restwaarde</t>
        </is>
      </c>
      <c r="C117" s="15">
        <f>C105/(1+$C$49)^$C$11</f>
        <v/>
      </c>
    </row>
    <row r="118">
      <c r="B118" s="6" t="inlineStr">
        <is>
          <t>NETTO CONTANTE WAARDE</t>
        </is>
      </c>
      <c r="C118" s="26">
        <f>C116+C117-C74</f>
        <v/>
      </c>
    </row>
    <row r="119">
      <c r="B119" s="27" t="inlineStr">
        <is>
          <t>Hier zit de kapitaalkost wél in, via de disconteringsvoet. In de terugverdientijd hierboven niet.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33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20" customWidth="1" min="4" max="4"/>
    <col width="16" customWidth="1" min="5" max="5"/>
    <col width="18" customWidth="1" min="6" max="6"/>
    <col width="14" customWidth="1" min="7" max="7"/>
    <col width="26" customWidth="1" min="8" max="8"/>
    <col width="3" customWidth="1" min="9" max="9"/>
    <col width="96" customWidth="1" min="10" max="10"/>
  </cols>
  <sheetData>
    <row r="1">
      <c r="B1" s="28" t="inlineStr">
        <is>
          <t>Parameters uit TCO-ZET-Vracht v7.3 (Panteia / Topsector Logistiek, 23-09-2024)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</row>
    <row r="5">
      <c r="B5" s="29" t="inlineStr">
        <is>
          <t>Voertuigtype</t>
        </is>
      </c>
      <c r="C5" s="29" t="inlineStr">
        <is>
          <t>Elektrisch [kWh/km]</t>
        </is>
      </c>
      <c r="D5" s="29" t="inlineStr">
        <is>
          <t>Banden [€/km]</t>
        </is>
      </c>
      <c r="E5" s="29" t="inlineStr">
        <is>
          <t>Wegenbelasting [€/jaar]</t>
        </is>
      </c>
      <c r="H5" s="29" t="inlineStr">
        <is>
          <t>AanZET-categorie</t>
        </is>
      </c>
    </row>
    <row r="6">
      <c r="B6" s="30" t="inlineStr">
        <is>
          <t>Kleine bakwagen</t>
        </is>
      </c>
      <c r="C6" s="31" t="n">
        <v>0.4761551824999992</v>
      </c>
      <c r="D6" s="32" t="n">
        <v>0.023121345</v>
      </c>
      <c r="E6" s="33" t="n">
        <v>380</v>
      </c>
      <c r="H6" s="30" t="inlineStr">
        <is>
          <t>N2</t>
        </is>
      </c>
    </row>
    <row r="7">
      <c r="B7" s="30" t="inlineStr">
        <is>
          <t>Medium bakwagen</t>
        </is>
      </c>
      <c r="C7" s="31" t="n">
        <v>0.9519194221532747</v>
      </c>
      <c r="D7" s="32" t="n">
        <v>0.0227691285</v>
      </c>
      <c r="E7" s="33" t="n">
        <v>380</v>
      </c>
      <c r="H7" s="30" t="inlineStr">
        <is>
          <t>N3 Bakwagen (lvm &lt;= 18t)</t>
        </is>
      </c>
    </row>
    <row r="8">
      <c r="B8" s="30" t="inlineStr">
        <is>
          <t>Grote bakwagen</t>
        </is>
      </c>
      <c r="C8" s="31" t="n">
        <v>1.327285842517089</v>
      </c>
      <c r="D8" s="32" t="n">
        <v>0.022416912</v>
      </c>
      <c r="E8" s="33" t="n">
        <v>380</v>
      </c>
      <c r="H8" s="30" t="inlineStr">
        <is>
          <t>N3 Bakwagen (lvm &gt; 18t)</t>
        </is>
      </c>
    </row>
    <row r="9">
      <c r="B9" s="30" t="inlineStr">
        <is>
          <t>Lichte trekker z/opl</t>
        </is>
      </c>
      <c r="C9" s="31" t="n">
        <v>1.299629854013712</v>
      </c>
      <c r="D9" s="32" t="n">
        <v>0.03444994</v>
      </c>
      <c r="E9" s="33" t="n">
        <v>1028</v>
      </c>
      <c r="H9" s="30" t="inlineStr">
        <is>
          <t>N3 Trekker</t>
        </is>
      </c>
    </row>
    <row r="10">
      <c r="B10" s="30" t="inlineStr">
        <is>
          <t>Zware trekker z/opl</t>
        </is>
      </c>
      <c r="C10" s="31" t="n">
        <v>1.155</v>
      </c>
      <c r="D10" s="32" t="n">
        <v>0.04648296799999999</v>
      </c>
      <c r="E10" s="33" t="n">
        <v>1028</v>
      </c>
      <c r="H10" s="30" t="inlineStr">
        <is>
          <t>N3 Trekker</t>
        </is>
      </c>
      <c r="J10" s="27" t="inlineStr">
        <is>
          <t>VERVANGEN — Volvo ERS 18-08-2026, route Ens–Naaldwijk: 1,09 kWh/km uit de accu + 6% laadverlies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4" t="inlineStr">
        <is>
          <t>AanZET-categorie</t>
        </is>
      </c>
      <c r="D15" s="34" t="inlineStr">
        <is>
          <t>Ondernemingsgrootte</t>
        </is>
      </c>
      <c r="E15" s="34" t="inlineStr">
        <is>
          <t>Max. steun [%]</t>
        </is>
      </c>
      <c r="F15" s="34" t="inlineStr">
        <is>
          <t>Max. steun [€]</t>
        </is>
      </c>
    </row>
    <row r="16">
      <c r="C16" s="35" t="inlineStr">
        <is>
          <t>N2</t>
        </is>
      </c>
      <c r="D16" s="35" t="inlineStr">
        <is>
          <t>Middelgroot</t>
        </is>
      </c>
      <c r="E16" s="36" t="n">
        <v>0.12</v>
      </c>
      <c r="F16" s="33" t="n">
        <v>14700</v>
      </c>
    </row>
    <row r="17">
      <c r="C17" s="35" t="inlineStr">
        <is>
          <t>N2</t>
        </is>
      </c>
      <c r="D17" s="35" t="inlineStr">
        <is>
          <t>Klein</t>
        </is>
      </c>
      <c r="E17" s="36" t="n">
        <v>0.148</v>
      </c>
      <c r="F17" s="33" t="n">
        <v>18800</v>
      </c>
    </row>
    <row r="18">
      <c r="C18" s="35" t="inlineStr">
        <is>
          <t>N2</t>
        </is>
      </c>
      <c r="D18" s="35" t="inlineStr">
        <is>
          <t>Groot</t>
        </is>
      </c>
      <c r="E18" s="36" t="n">
        <v>0.061</v>
      </c>
      <c r="F18" s="33" t="n">
        <v>7500</v>
      </c>
    </row>
    <row r="19">
      <c r="C19" s="35" t="inlineStr">
        <is>
          <t>N3 Bakwagen (lvm &lt;= 18t)</t>
        </is>
      </c>
      <c r="D19" s="35" t="inlineStr">
        <is>
          <t>Middelgroot</t>
        </is>
      </c>
      <c r="E19" s="36" t="n">
        <v>0.2</v>
      </c>
      <c r="F19" s="33" t="n">
        <v>60500</v>
      </c>
    </row>
    <row r="20">
      <c r="C20" s="35" t="inlineStr">
        <is>
          <t>N3 Bakwagen (lvm &lt;= 18t)</t>
        </is>
      </c>
      <c r="D20" s="35" t="inlineStr">
        <is>
          <t>Klein</t>
        </is>
      </c>
      <c r="E20" s="36" t="n">
        <v>0.286</v>
      </c>
      <c r="F20" s="33" t="n">
        <v>86600</v>
      </c>
    </row>
    <row r="21">
      <c r="C21" s="35" t="inlineStr">
        <is>
          <t>N3 Bakwagen (lvm &lt;= 18t)</t>
        </is>
      </c>
      <c r="D21" s="35" t="inlineStr">
        <is>
          <t>Groot</t>
        </is>
      </c>
      <c r="E21" s="36" t="n">
        <v>0.103</v>
      </c>
      <c r="F21" s="33" t="n">
        <v>31100</v>
      </c>
    </row>
    <row r="22">
      <c r="C22" s="35" t="inlineStr">
        <is>
          <t>N3 Bakwagen (lvm &gt; 18t)</t>
        </is>
      </c>
      <c r="D22" s="35" t="inlineStr">
        <is>
          <t>Middelgroot</t>
        </is>
      </c>
      <c r="E22" s="36" t="n">
        <v>0.21</v>
      </c>
      <c r="F22" s="33" t="n">
        <v>83200</v>
      </c>
    </row>
    <row r="23">
      <c r="C23" s="35" t="inlineStr">
        <is>
          <t>N3 Bakwagen (lvm &gt; 18t)</t>
        </is>
      </c>
      <c r="D23" s="35" t="inlineStr">
        <is>
          <t>Klein</t>
        </is>
      </c>
      <c r="E23" s="36" t="n">
        <v>0.29</v>
      </c>
      <c r="F23" s="33" t="n">
        <v>115200</v>
      </c>
    </row>
    <row r="24">
      <c r="C24" s="35" t="inlineStr">
        <is>
          <t>N3 Bakwagen (lvm &gt; 18t)</t>
        </is>
      </c>
      <c r="D24" s="35" t="inlineStr">
        <is>
          <t>Groot</t>
        </is>
      </c>
      <c r="E24" s="36" t="n">
        <v>0.111</v>
      </c>
      <c r="F24" s="33" t="n">
        <v>43900</v>
      </c>
    </row>
    <row r="25">
      <c r="C25" s="35" t="inlineStr">
        <is>
          <t>N3 Trekker</t>
        </is>
      </c>
      <c r="D25" s="35" t="inlineStr">
        <is>
          <t>Middelgroot</t>
        </is>
      </c>
      <c r="E25" s="36" t="n">
        <v>0.21</v>
      </c>
      <c r="F25" s="33" t="n">
        <v>83200</v>
      </c>
    </row>
    <row r="26">
      <c r="C26" s="35" t="inlineStr">
        <is>
          <t>N3 Trekker</t>
        </is>
      </c>
      <c r="D26" s="35" t="inlineStr">
        <is>
          <t>Klein</t>
        </is>
      </c>
      <c r="E26" s="36" t="n">
        <v>0.29</v>
      </c>
      <c r="F26" s="33" t="n">
        <v>115200</v>
      </c>
    </row>
    <row r="27">
      <c r="C27" s="35" t="inlineStr">
        <is>
          <t>N3 Trekker</t>
        </is>
      </c>
      <c r="D27" s="35" t="inlineStr">
        <is>
          <t>Groot</t>
        </is>
      </c>
      <c r="E27" s="36" t="n">
        <v>0.111</v>
      </c>
      <c r="F27" s="33" t="n">
        <v>43900</v>
      </c>
    </row>
    <row r="28">
      <c r="B28" s="2" t="inlineStr">
        <is>
          <t>Bron: blad 'M2-Subsidie' F5:I17. Bevestigd door de beschikking van RVO.</t>
        </is>
      </c>
    </row>
    <row r="30">
      <c r="B30" s="5" t="inlineStr">
        <is>
          <t>STAATSSTEUNPLAFOND — % VAN DE MEERPRIJS</t>
        </is>
      </c>
      <c r="C30" s="5" t="n"/>
      <c r="D30" s="5" t="n"/>
      <c r="E30" s="5" t="n"/>
    </row>
    <row r="31">
      <c r="C31" s="35" t="inlineStr">
        <is>
          <t>Groot</t>
        </is>
      </c>
      <c r="D31" s="37" t="n">
        <v>0.4</v>
      </c>
    </row>
    <row r="32">
      <c r="C32" s="35" t="inlineStr">
        <is>
          <t>Middelgroot</t>
        </is>
      </c>
      <c r="D32" s="37" t="n">
        <v>0.5</v>
      </c>
    </row>
    <row r="33">
      <c r="C33" s="35" t="inlineStr">
        <is>
          <t>Klein</t>
        </is>
      </c>
      <c r="D33" s="37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44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4" customWidth="1" min="4" max="4"/>
  </cols>
  <sheetData>
    <row r="1">
      <c r="B1" s="1" t="inlineStr">
        <is>
          <t>Gevoeligheidsanalyse</t>
        </is>
      </c>
    </row>
    <row r="2">
      <c r="B2" s="2" t="inlineStr">
        <is>
          <t>Terugverdientijd inclusief restwaarde. Alleen de eerste kolom is invoer.</t>
        </is>
      </c>
    </row>
    <row r="4">
      <c r="B4" s="5" t="inlineStr">
        <is>
          <t>A. KILOMETERS — km per truck per jaar</t>
        </is>
      </c>
      <c r="C4" s="5" t="n"/>
      <c r="D4" s="5" t="n"/>
      <c r="E4" s="5" t="n"/>
    </row>
    <row r="5">
      <c r="B5" s="34" t="inlineStr">
        <is>
          <t>km per truck per jaar</t>
        </is>
      </c>
      <c r="C5" s="34" t="inlineStr">
        <is>
          <t>Besparing per jaar</t>
        </is>
      </c>
      <c r="D5" s="34" t="inlineStr">
        <is>
          <t>Terugverdientijd [jaar]</t>
        </is>
      </c>
    </row>
    <row r="6">
      <c r="B6" s="7" t="n">
        <v>60000</v>
      </c>
      <c r="C6" s="15">
        <f>(B6*(Model!$C$21*Model!$C$22+0.025*0.73-Model!$C$53*Model!$C$26)+(Model!$C$30*(Model!$C$31-Model!$C$32)+Model!$C$33*(Model!$C$34-Model!$C$35)+Model!$C$36-Model!$C$37-Model!$C$38))*Model!$C$7+B6*Model!$C$53*Model!$C$7*Model!$C$47*(1-Model!$C$48)+Model!$C$106</f>
        <v/>
      </c>
      <c r="D6" s="38">
        <f>IF(C6&lt;=0,"nooit",Model!$C$74/C6)</f>
        <v/>
      </c>
    </row>
    <row r="7">
      <c r="B7" s="7" t="n">
        <v>80000</v>
      </c>
      <c r="C7" s="15">
        <f>(B7*(Model!$C$21*Model!$C$22+0.025*0.73-Model!$C$53*Model!$C$26)+(Model!$C$30*(Model!$C$31-Model!$C$32)+Model!$C$33*(Model!$C$34-Model!$C$35)+Model!$C$36-Model!$C$37-Model!$C$38))*Model!$C$7+B7*Model!$C$53*Model!$C$7*Model!$C$47*(1-Model!$C$48)+Model!$C$106</f>
        <v/>
      </c>
      <c r="D7" s="38">
        <f>IF(C7&lt;=0,"nooit",Model!$C$74/C7)</f>
        <v/>
      </c>
    </row>
    <row r="8">
      <c r="B8" s="7" t="n">
        <v>100000</v>
      </c>
      <c r="C8" s="15">
        <f>(B8*(Model!$C$21*Model!$C$22+0.025*0.73-Model!$C$53*Model!$C$26)+(Model!$C$30*(Model!$C$31-Model!$C$32)+Model!$C$33*(Model!$C$34-Model!$C$35)+Model!$C$36-Model!$C$37-Model!$C$38))*Model!$C$7+B8*Model!$C$53*Model!$C$7*Model!$C$47*(1-Model!$C$48)+Model!$C$106</f>
        <v/>
      </c>
      <c r="D8" s="38">
        <f>IF(C8&lt;=0,"nooit",Model!$C$74/C8)</f>
        <v/>
      </c>
    </row>
    <row r="9">
      <c r="B9" s="7" t="n">
        <v>120000</v>
      </c>
      <c r="C9" s="15">
        <f>(B9*(Model!$C$21*Model!$C$22+0.025*0.73-Model!$C$53*Model!$C$26)+(Model!$C$30*(Model!$C$31-Model!$C$32)+Model!$C$33*(Model!$C$34-Model!$C$35)+Model!$C$36-Model!$C$37-Model!$C$38))*Model!$C$7+B9*Model!$C$53*Model!$C$7*Model!$C$47*(1-Model!$C$48)+Model!$C$106</f>
        <v/>
      </c>
      <c r="D9" s="38">
        <f>IF(C9&lt;=0,"nooit",Model!$C$74/C9)</f>
        <v/>
      </c>
    </row>
    <row r="10">
      <c r="B10" s="7" t="n">
        <v>150000</v>
      </c>
      <c r="C10" s="15">
        <f>(B10*(Model!$C$21*Model!$C$22+0.025*0.73-Model!$C$53*Model!$C$26)+(Model!$C$30*(Model!$C$31-Model!$C$32)+Model!$C$33*(Model!$C$34-Model!$C$35)+Model!$C$36-Model!$C$37-Model!$C$38))*Model!$C$7+B10*Model!$C$53*Model!$C$7*Model!$C$47*(1-Model!$C$48)+Model!$C$106</f>
        <v/>
      </c>
      <c r="D10" s="38">
        <f>IF(C10&lt;=0,"nooit",Model!$C$74/C10)</f>
        <v/>
      </c>
    </row>
    <row r="11">
      <c r="B11" s="7" t="n">
        <v>180000</v>
      </c>
      <c r="C11" s="15">
        <f>(B11*(Model!$C$21*Model!$C$22+0.025*0.73-Model!$C$53*Model!$C$26)+(Model!$C$30*(Model!$C$31-Model!$C$32)+Model!$C$33*(Model!$C$34-Model!$C$35)+Model!$C$36-Model!$C$37-Model!$C$38))*Model!$C$7+B11*Model!$C$53*Model!$C$7*Model!$C$47*(1-Model!$C$48)+Model!$C$106</f>
        <v/>
      </c>
      <c r="D11" s="38">
        <f>IF(C11&lt;=0,"nooit",Model!$C$74/C11)</f>
        <v/>
      </c>
    </row>
    <row r="13">
      <c r="B13" s="5" t="inlineStr">
        <is>
          <t>B. STROOMPRIJS — € per kWh</t>
        </is>
      </c>
      <c r="C13" s="5" t="n"/>
      <c r="D13" s="5" t="n"/>
      <c r="E13" s="5" t="n"/>
    </row>
    <row r="14">
      <c r="B14" s="34" t="inlineStr">
        <is>
          <t>€ per kWh</t>
        </is>
      </c>
      <c r="C14" s="34" t="inlineStr">
        <is>
          <t>Besparing per jaar</t>
        </is>
      </c>
      <c r="D14" s="34" t="inlineStr">
        <is>
          <t>Terugverdientijd [jaar]</t>
        </is>
      </c>
    </row>
    <row r="15">
      <c r="B15" s="12" t="n">
        <v>0.08</v>
      </c>
      <c r="C15" s="15">
        <f>Model!$C$112+(Model!$C$26-B15)*Model!$C$8*Model!$C$53*Model!$C$7</f>
        <v/>
      </c>
      <c r="D15" s="38">
        <f>IF(C15&lt;=0,"nooit",Model!$C$74/C15)</f>
        <v/>
      </c>
    </row>
    <row r="16">
      <c r="B16" s="12" t="n">
        <v>0.1</v>
      </c>
      <c r="C16" s="15">
        <f>Model!$C$112+(Model!$C$26-B16)*Model!$C$8*Model!$C$53*Model!$C$7</f>
        <v/>
      </c>
      <c r="D16" s="38">
        <f>IF(C16&lt;=0,"nooit",Model!$C$74/C16)</f>
        <v/>
      </c>
    </row>
    <row r="17">
      <c r="B17" s="12" t="n">
        <v>0.14</v>
      </c>
      <c r="C17" s="15">
        <f>Model!$C$112+(Model!$C$26-B17)*Model!$C$8*Model!$C$53*Model!$C$7</f>
        <v/>
      </c>
      <c r="D17" s="38">
        <f>IF(C17&lt;=0,"nooit",Model!$C$74/C17)</f>
        <v/>
      </c>
    </row>
    <row r="18">
      <c r="B18" s="12" t="n">
        <v>0.18</v>
      </c>
      <c r="C18" s="15">
        <f>Model!$C$112+(Model!$C$26-B18)*Model!$C$8*Model!$C$53*Model!$C$7</f>
        <v/>
      </c>
      <c r="D18" s="38">
        <f>IF(C18&lt;=0,"nooit",Model!$C$74/C18)</f>
        <v/>
      </c>
    </row>
    <row r="19">
      <c r="B19" s="12" t="n">
        <v>0.2154</v>
      </c>
      <c r="C19" s="15">
        <f>Model!$C$112+(Model!$C$26-B19)*Model!$C$8*Model!$C$53*Model!$C$7</f>
        <v/>
      </c>
      <c r="D19" s="38">
        <f>IF(C19&lt;=0,"nooit",Model!$C$74/C19)</f>
        <v/>
      </c>
    </row>
    <row r="20">
      <c r="B20" s="12" t="n">
        <v>0.3</v>
      </c>
      <c r="C20" s="15">
        <f>Model!$C$112+(Model!$C$26-B20)*Model!$C$8*Model!$C$53*Model!$C$7</f>
        <v/>
      </c>
      <c r="D20" s="38">
        <f>IF(C20&lt;=0,"nooit",Model!$C$74/C20)</f>
        <v/>
      </c>
    </row>
    <row r="22">
      <c r="B22" s="5" t="inlineStr">
        <is>
          <t>C. DIESELVERBRUIK — 1 op ...</t>
        </is>
      </c>
      <c r="C22" s="5" t="n"/>
      <c r="D22" s="5" t="n"/>
      <c r="E22" s="5" t="n"/>
    </row>
    <row r="23">
      <c r="B23" s="34" t="inlineStr">
        <is>
          <t>1 op ...</t>
        </is>
      </c>
      <c r="C23" s="34" t="inlineStr">
        <is>
          <t>Besparing per jaar</t>
        </is>
      </c>
      <c r="D23" s="34" t="inlineStr">
        <is>
          <t>Terugverdientijd [jaar]</t>
        </is>
      </c>
    </row>
    <row r="24">
      <c r="B24" s="10" t="n">
        <v>3.2</v>
      </c>
      <c r="C24" s="15">
        <f>Model!$C$112+(1/B24-Model!$C$21)*Model!$C$8*Model!$C$22*Model!$C$7</f>
        <v/>
      </c>
      <c r="D24" s="38">
        <f>IF(C24&lt;=0,"nooit",Model!$C$74/C24)</f>
        <v/>
      </c>
    </row>
    <row r="25">
      <c r="B25" s="10" t="n">
        <v>3.5</v>
      </c>
      <c r="C25" s="15">
        <f>Model!$C$112+(1/B25-Model!$C$21)*Model!$C$8*Model!$C$22*Model!$C$7</f>
        <v/>
      </c>
      <c r="D25" s="38">
        <f>IF(C25&lt;=0,"nooit",Model!$C$74/C25)</f>
        <v/>
      </c>
    </row>
    <row r="26">
      <c r="B26" s="10" t="n">
        <v>3.8</v>
      </c>
      <c r="C26" s="15">
        <f>Model!$C$112+(1/B26-Model!$C$21)*Model!$C$8*Model!$C$22*Model!$C$7</f>
        <v/>
      </c>
      <c r="D26" s="38">
        <f>IF(C26&lt;=0,"nooit",Model!$C$74/C26)</f>
        <v/>
      </c>
    </row>
    <row r="27">
      <c r="B27" s="10" t="n">
        <v>4.1</v>
      </c>
      <c r="C27" s="15">
        <f>Model!$C$112+(1/B27-Model!$C$21)*Model!$C$8*Model!$C$22*Model!$C$7</f>
        <v/>
      </c>
      <c r="D27" s="38">
        <f>IF(C27&lt;=0,"nooit",Model!$C$74/C27)</f>
        <v/>
      </c>
    </row>
    <row r="28">
      <c r="B28" s="10" t="n">
        <v>4.5</v>
      </c>
      <c r="C28" s="15">
        <f>Model!$C$112+(1/B28-Model!$C$21)*Model!$C$8*Model!$C$22*Model!$C$7</f>
        <v/>
      </c>
      <c r="D28" s="38">
        <f>IF(C28&lt;=0,"nooit",Model!$C$74/C28)</f>
        <v/>
      </c>
    </row>
    <row r="29">
      <c r="B29" s="10" t="n">
        <v>5</v>
      </c>
      <c r="C29" s="15">
        <f>Model!$C$112+(1/B29-Model!$C$21)*Model!$C$8*Model!$C$22*Model!$C$7</f>
        <v/>
      </c>
      <c r="D29" s="38">
        <f>IF(C29&lt;=0,"nooit",Model!$C$74/C29)</f>
        <v/>
      </c>
    </row>
    <row r="31">
      <c r="B31" s="5" t="inlineStr">
        <is>
          <t>D. RESTWAARDE E-TRUCK — € per truck</t>
        </is>
      </c>
      <c r="C31" s="5" t="n"/>
      <c r="D31" s="5" t="n"/>
      <c r="E31" s="5" t="n"/>
    </row>
    <row r="32">
      <c r="B32" s="34" t="inlineStr">
        <is>
          <t>€ per truck</t>
        </is>
      </c>
      <c r="C32" s="34" t="inlineStr">
        <is>
          <t>Besparing per jaar</t>
        </is>
      </c>
      <c r="D32" s="34" t="inlineStr">
        <is>
          <t>Terugverdientijd [jaar]</t>
        </is>
      </c>
    </row>
    <row r="33">
      <c r="B33" s="9" t="n">
        <v>0</v>
      </c>
      <c r="C33" s="15">
        <f>Model!$C$112+(B33-Model!$C$16)*Model!$C$7/Model!$C$11</f>
        <v/>
      </c>
      <c r="D33" s="38">
        <f>IF(C33&lt;=0,"nooit",Model!$C$74/C33)</f>
        <v/>
      </c>
    </row>
    <row r="34">
      <c r="B34" s="9" t="n">
        <v>20000</v>
      </c>
      <c r="C34" s="15">
        <f>Model!$C$112+(B34-Model!$C$16)*Model!$C$7/Model!$C$11</f>
        <v/>
      </c>
      <c r="D34" s="38">
        <f>IF(C34&lt;=0,"nooit",Model!$C$74/C34)</f>
        <v/>
      </c>
    </row>
    <row r="35">
      <c r="B35" s="9" t="n">
        <v>40000</v>
      </c>
      <c r="C35" s="15">
        <f>Model!$C$112+(B35-Model!$C$16)*Model!$C$7/Model!$C$11</f>
        <v/>
      </c>
      <c r="D35" s="38">
        <f>IF(C35&lt;=0,"nooit",Model!$C$74/C35)</f>
        <v/>
      </c>
    </row>
    <row r="36">
      <c r="B36" s="9" t="n">
        <v>60000</v>
      </c>
      <c r="C36" s="15">
        <f>Model!$C$112+(B36-Model!$C$16)*Model!$C$7/Model!$C$11</f>
        <v/>
      </c>
      <c r="D36" s="38">
        <f>IF(C36&lt;=0,"nooit",Model!$C$74/C36)</f>
        <v/>
      </c>
    </row>
    <row r="37">
      <c r="B37" s="9" t="n">
        <v>80000</v>
      </c>
      <c r="C37" s="15">
        <f>Model!$C$112+(B37-Model!$C$16)*Model!$C$7/Model!$C$11</f>
        <v/>
      </c>
      <c r="D37" s="38">
        <f>IF(C37&lt;=0,"nooit",Model!$C$74/C37)</f>
        <v/>
      </c>
    </row>
    <row r="39">
      <c r="B39" s="5" t="inlineStr">
        <is>
          <t>E. ONDERHOUD ELEKTRISCH — € per jaar</t>
        </is>
      </c>
      <c r="C39" s="5" t="n"/>
      <c r="D39" s="5" t="n"/>
      <c r="E39" s="5" t="n"/>
    </row>
    <row r="40">
      <c r="B40" s="34" t="inlineStr">
        <is>
          <t>€ per jaar</t>
        </is>
      </c>
      <c r="C40" s="34" t="inlineStr">
        <is>
          <t>Besparing per jaar</t>
        </is>
      </c>
      <c r="D40" s="34" t="inlineStr">
        <is>
          <t>Terugverdientijd [jaar]</t>
        </is>
      </c>
    </row>
    <row r="41">
      <c r="B41" s="9" t="n">
        <v>4600</v>
      </c>
      <c r="C41" s="15">
        <f>Model!$C$112-(B41-Model!$C$37)*Model!$C$7</f>
        <v/>
      </c>
      <c r="D41" s="38">
        <f>IF(C41&lt;=0,"nooit",Model!$C$74/C41)</f>
        <v/>
      </c>
    </row>
    <row r="42">
      <c r="B42" s="9" t="n">
        <v>6200</v>
      </c>
      <c r="C42" s="15">
        <f>Model!$C$112-(B42-Model!$C$37)*Model!$C$7</f>
        <v/>
      </c>
      <c r="D42" s="38">
        <f>IF(C42&lt;=0,"nooit",Model!$C$74/C42)</f>
        <v/>
      </c>
    </row>
    <row r="43">
      <c r="B43" s="9" t="n">
        <v>7740</v>
      </c>
      <c r="C43" s="15">
        <f>Model!$C$112-(B43-Model!$C$37)*Model!$C$7</f>
        <v/>
      </c>
      <c r="D43" s="38">
        <f>IF(C43&lt;=0,"nooit",Model!$C$74/C43)</f>
        <v/>
      </c>
    </row>
    <row r="44">
      <c r="B44" s="9" t="n">
        <v>9000</v>
      </c>
      <c r="C44" s="15">
        <f>Model!$C$112-(B44-Model!$C$37)*Model!$C$7</f>
        <v/>
      </c>
      <c r="D44" s="38">
        <f>IF(C44&lt;=0,"nooit",Model!$C$74/C44)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2026-08-21T16:12:40Z</dcterms:created>
  <dcterms:modified xsi:type="dcterms:W3CDTF">2026-08-21T16:12:40Z</dcterms:modified>
</cp:coreProperties>
</file>