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Panteia-parameters" sheetId="2" state="visible" r:id="rId2"/>
    <sheet name="Gevoelighe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€#,##0.0000"/>
    <numFmt numFmtId="166" formatCode="€#,##0;(€#,##0);-"/>
    <numFmt numFmtId="167" formatCode="€#,##0.00;(€#,##0.00);-"/>
    <numFmt numFmtId="168" formatCode="0.0%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sz val="11"/>
    </font>
    <font>
      <name val="Arial"/>
      <b val="1"/>
      <sz val="12"/>
    </font>
    <font>
      <name val="Arial"/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3" fontId="7" fillId="3" borderId="0" pivotButton="0" quotePrefix="0" xfId="0"/>
    <xf numFmtId="49" fontId="7" fillId="3" borderId="0" pivotButton="0" quotePrefix="0" xfId="0"/>
    <xf numFmtId="164" fontId="7" fillId="3" borderId="0" pivotButton="0" quotePrefix="0" xfId="0"/>
    <xf numFmtId="165" fontId="6" fillId="0" borderId="0" pivotButton="0" quotePrefix="0" xfId="0"/>
    <xf numFmtId="166" fontId="7" fillId="3" borderId="0" pivotButton="0" quotePrefix="0" xfId="0"/>
    <xf numFmtId="167" fontId="7" fillId="3" borderId="0" pivotButton="0" quotePrefix="0" xfId="0"/>
    <xf numFmtId="168" fontId="7" fillId="3" borderId="0" pivotButton="0" quotePrefix="0" xfId="0"/>
    <xf numFmtId="167" fontId="6" fillId="0" borderId="0" pivotButton="0" quotePrefix="0" xfId="0"/>
    <xf numFmtId="49" fontId="8" fillId="0" borderId="0" pivotButton="0" quotePrefix="0" xfId="0"/>
    <xf numFmtId="165" fontId="8" fillId="0" borderId="0" pivotButton="0" quotePrefix="0" xfId="0"/>
    <xf numFmtId="4" fontId="8" fillId="0" borderId="0" pivotButton="0" quotePrefix="0" xfId="0"/>
    <xf numFmtId="167" fontId="8" fillId="0" borderId="0" pivotButton="0" quotePrefix="0" xfId="0"/>
    <xf numFmtId="166" fontId="8" fillId="0" borderId="0" pivotButton="0" quotePrefix="0" xfId="0"/>
    <xf numFmtId="168" fontId="6" fillId="0" borderId="0" pivotButton="0" quotePrefix="0" xfId="0"/>
    <xf numFmtId="166" fontId="6" fillId="0" borderId="0" pivotButton="0" quotePrefix="0" xfId="0"/>
    <xf numFmtId="166" fontId="3" fillId="0" borderId="0" pivotButton="0" quotePrefix="0" xfId="0"/>
    <xf numFmtId="49" fontId="6" fillId="0" borderId="0" pivotButton="0" quotePrefix="0" xfId="0"/>
    <xf numFmtId="164" fontId="9" fillId="0" borderId="0" pivotButton="0" quotePrefix="0" xfId="0"/>
    <xf numFmtId="3" fontId="6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3" fillId="4" borderId="0" applyAlignment="1" pivotButton="0" quotePrefix="0" xfId="0">
      <alignment vertical="top" wrapText="1"/>
    </xf>
    <xf numFmtId="49" fontId="7" fillId="0" borderId="0" pivotButton="0" quotePrefix="0" xfId="0"/>
    <xf numFmtId="165" fontId="7" fillId="0" borderId="0" pivotButton="0" quotePrefix="0" xfId="0"/>
    <xf numFmtId="4" fontId="7" fillId="0" borderId="0" pivotButton="0" quotePrefix="0" xfId="0"/>
    <xf numFmtId="167" fontId="7" fillId="0" borderId="0" pivotButton="0" quotePrefix="0" xfId="0"/>
    <xf numFmtId="166" fontId="7" fillId="0" borderId="0" pivotButton="0" quotePrefix="0" xfId="0"/>
    <xf numFmtId="0" fontId="3" fillId="4" borderId="0" pivotButton="0" quotePrefix="0" xfId="0"/>
    <xf numFmtId="0" fontId="7" fillId="0" borderId="0" pivotButton="0" quotePrefix="0" xfId="0"/>
    <xf numFmtId="168" fontId="7" fillId="0" borderId="0" pivotButton="0" quotePrefix="0" xfId="0"/>
    <xf numFmtId="3" fontId="7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92"/>
  <sheetViews>
    <sheetView workbookViewId="0">
      <selection activeCell="A1" sqref="A1"/>
    </sheetView>
  </sheetViews>
  <sheetFormatPr baseColWidth="8" defaultRowHeight="15"/>
  <cols>
    <col width="2" customWidth="1" min="1" max="1"/>
    <col width="48" customWidth="1" min="2" max="2"/>
    <col width="16" customWidth="1" min="3" max="3"/>
    <col width="4" customWidth="1" min="4" max="4"/>
    <col width="96" customWidth="1" min="5" max="5"/>
  </cols>
  <sheetData>
    <row r="1">
      <c r="B1" s="1" t="inlineStr">
        <is>
          <t>TCO elektrische vrachtwagens — gekalibreerd op TCO-ZET-Vracht v7.3 (Panteia / Topsector Logistiek)</t>
        </is>
      </c>
    </row>
    <row r="2">
      <c r="B2" s="2" t="inlineStr">
        <is>
          <t>A. Baas Potplantenkwekerij B.V. — 2 trucks · AanZET 2026 + SPRILA</t>
        </is>
      </c>
    </row>
    <row r="4">
      <c r="B4" s="3" t="inlineStr">
        <is>
          <t>Legenda:</t>
        </is>
      </c>
      <c r="C4" s="4" t="inlineStr">
        <is>
          <t>Geel/blauw = zelf invullen · zwart = formule · groen = automatisch uit blad Panteia-parameters</t>
        </is>
      </c>
    </row>
    <row r="6">
      <c r="B6" s="5" t="inlineStr">
        <is>
          <t>1. INVOER</t>
        </is>
      </c>
      <c r="C6" s="5" t="n"/>
      <c r="D6" s="5" t="n"/>
      <c r="E6" s="5" t="n"/>
      <c r="F6" s="5" t="n"/>
      <c r="G6" s="5" t="n"/>
    </row>
    <row r="7">
      <c r="B7" s="6" t="inlineStr">
        <is>
          <t>Aantal trucks</t>
        </is>
      </c>
      <c r="C7" s="7" t="n">
        <v>2</v>
      </c>
    </row>
    <row r="8">
      <c r="B8" s="6" t="inlineStr">
        <is>
          <t>Kilometers per truck per jaar</t>
        </is>
      </c>
      <c r="C8" s="7" t="n">
        <v>100000</v>
      </c>
      <c r="E8" s="2" t="inlineStr">
        <is>
          <t>Opgave Kwekerij Baas</t>
        </is>
      </c>
    </row>
    <row r="9">
      <c r="B9" s="6" t="inlineStr">
        <is>
          <t>Ondernemingsgrootte</t>
        </is>
      </c>
      <c r="C9" s="8" t="inlineStr">
        <is>
          <t>Middelgroot</t>
        </is>
      </c>
      <c r="E9" s="2" t="inlineStr">
        <is>
          <t>Klein / Middelgroot / Groot — geldt voor de HELE groep, geconsolideerd</t>
        </is>
      </c>
    </row>
    <row r="10">
      <c r="B10" s="6" t="inlineStr">
        <is>
          <t>Voertuigtype</t>
        </is>
      </c>
      <c r="C10" s="8" t="inlineStr">
        <is>
          <t>Zware trekker z/opl</t>
        </is>
      </c>
      <c r="E10" s="2" t="inlineStr">
        <is>
          <t>Kies uit blad Panteia-parameters. Stuurt verbruik, onderhoud, banden en AanZET-categorie aan</t>
        </is>
      </c>
    </row>
    <row r="11">
      <c r="B11" s="6" t="inlineStr">
        <is>
          <t>Dieselverbruik — 1 op ...</t>
        </is>
      </c>
      <c r="C11" s="9" t="n">
        <v>3.8</v>
      </c>
      <c r="E11" s="2" t="inlineStr">
        <is>
          <t>Opgave Kwekerij Baas</t>
        </is>
      </c>
    </row>
    <row r="12">
      <c r="B12" s="6" t="inlineStr">
        <is>
          <t xml:space="preserve">  → liter per km</t>
        </is>
      </c>
      <c r="C12" s="10">
        <f>IF($C$11=0,0,1/$C$11)</f>
        <v/>
      </c>
    </row>
    <row r="13">
      <c r="B13" s="6" t="inlineStr">
        <is>
          <t>Bruto aanschafprijs e-truck</t>
        </is>
      </c>
      <c r="C13" s="11" t="n">
        <v>300000</v>
      </c>
      <c r="E13" s="2" t="inlineStr">
        <is>
          <t>Opgave Nijwa: Volvo FH Aero Electric 4x2. De 6x2 kost € 320.000</t>
        </is>
      </c>
    </row>
    <row r="14">
      <c r="B14" s="6" t="inlineStr">
        <is>
          <t>Bruto aanschafprijs vergelijkbare diesel</t>
        </is>
      </c>
      <c r="C14" s="11" t="n">
        <v>146166</v>
      </c>
      <c r="E14" s="2" t="inlineStr">
        <is>
          <t>Panteia casco 'Zware trekker z/opl'. OPVRAGEN bij Nijwa — bepaalt het staatssteunplafond</t>
        </is>
      </c>
    </row>
    <row r="15">
      <c r="B15" s="6" t="inlineStr">
        <is>
          <t>Netto dieselprijs per liter</t>
        </is>
      </c>
      <c r="C15" s="12" t="n">
        <v>1.7</v>
      </c>
      <c r="E15" s="2" t="inlineStr">
        <is>
          <t>Opgave Kwekerij Baas</t>
        </is>
      </c>
    </row>
    <row r="16">
      <c r="B16" s="6" t="inlineStr">
        <is>
          <t>Aandeel eigen opwek (zon + accu)</t>
        </is>
      </c>
      <c r="C16" s="13" t="n">
        <v>1</v>
      </c>
      <c r="E16" s="2" t="inlineStr">
        <is>
          <t>Opgave Kwekerij Baas — volledig eigen opwek</t>
        </is>
      </c>
    </row>
    <row r="17">
      <c r="B17" s="6" t="inlineStr">
        <is>
          <t>Prijs eigen opwek per kWh</t>
        </is>
      </c>
      <c r="C17" s="12" t="n">
        <v>0.1</v>
      </c>
      <c r="E17" s="2" t="inlineStr">
        <is>
          <t>Opgave Kwekerij Baas</t>
        </is>
      </c>
    </row>
    <row r="18">
      <c r="B18" s="6" t="inlineStr">
        <is>
          <t>Prijs netstroom per kWh</t>
        </is>
      </c>
      <c r="C18" s="12" t="n">
        <v>0.21537</v>
      </c>
      <c r="E18" s="2" t="inlineStr">
        <is>
          <t>Panteia Parameters D6</t>
        </is>
      </c>
    </row>
    <row r="19">
      <c r="B19" s="6" t="inlineStr">
        <is>
          <t xml:space="preserve">  → gemengde stroomprijs</t>
        </is>
      </c>
      <c r="C19" s="14">
        <f>$C$16*$C$17+(1-$C$16)*$C$18</f>
        <v/>
      </c>
    </row>
    <row r="20">
      <c r="B20" s="6" t="inlineStr">
        <is>
          <t>Vrachtwagenheffing diesel (€/km)</t>
        </is>
      </c>
      <c r="C20" s="12" t="n">
        <v>0.19</v>
      </c>
      <c r="E20" s="2" t="inlineStr">
        <is>
          <t>Per 1 juli 2026 — zit NIET in de Panteia-tool v7.3</t>
        </is>
      </c>
    </row>
    <row r="21">
      <c r="B21" s="6" t="inlineStr">
        <is>
          <t>Vrachtwagenheffing zero-emissie (€/km)</t>
        </is>
      </c>
      <c r="C21" s="12" t="n">
        <v>0.04</v>
      </c>
      <c r="E21" s="2" t="inlineStr">
        <is>
          <t>Per 1 juli 2026 — circa 80% korting</t>
        </is>
      </c>
    </row>
    <row r="22">
      <c r="B22" s="6" t="inlineStr">
        <is>
          <t>Extra chauffeurskosten elektrisch per jaar</t>
        </is>
      </c>
      <c r="C22" s="11" t="n">
        <v>3655</v>
      </c>
      <c r="E22" s="2" t="inlineStr">
        <is>
          <t>Wachttijd bij laden. Panteia rekent +4,1% (E118 vs D118). Schaalt mee met de inzet</t>
        </is>
      </c>
    </row>
    <row r="23">
      <c r="B23" s="6" t="inlineStr">
        <is>
          <t>Vennootschapsbelasting</t>
        </is>
      </c>
      <c r="C23" s="13" t="n">
        <v>0.258</v>
      </c>
      <c r="E23" s="2" t="inlineStr">
        <is>
          <t>Tarief 2026</t>
        </is>
      </c>
    </row>
    <row r="24">
      <c r="B24" s="6" t="inlineStr">
        <is>
          <t>EIA-aftrekpercentage</t>
        </is>
      </c>
      <c r="C24" s="13" t="n">
        <v>0.4</v>
      </c>
      <c r="E24" s="2" t="inlineStr">
        <is>
          <t>EIA 2026</t>
        </is>
      </c>
    </row>
    <row r="25">
      <c r="B25" s="6" t="inlineStr">
        <is>
          <t>EIA-grondslag = volledige aanschafprijs?</t>
        </is>
      </c>
      <c r="C25" s="8" t="inlineStr">
        <is>
          <t>Nee</t>
        </is>
      </c>
      <c r="E25" s="2" t="inlineStr">
        <is>
          <t>Nee = alleen de meerprijs (voorzichtig). Ja = hele aanschafprijs, zoals Panteia bij MIA doet</t>
        </is>
      </c>
    </row>
    <row r="26">
      <c r="B26" s="6" t="inlineStr">
        <is>
          <t>Investering laadinfrastructuur</t>
        </is>
      </c>
      <c r="C26" s="11" t="n">
        <v>461500</v>
      </c>
      <c r="E26" s="2" t="inlineStr">
        <is>
          <t>Offerte Draccu DR283: accu 1.045 kWh + 3x DC 240 kW</t>
        </is>
      </c>
    </row>
    <row r="27">
      <c r="B27" s="6" t="inlineStr">
        <is>
          <t>SPRILA-subsidie</t>
        </is>
      </c>
      <c r="C27" s="11" t="n">
        <v>178000</v>
      </c>
      <c r="E27" s="2" t="inlineStr">
        <is>
          <t>Volgens de RVO-bedragen 2026. LET OP: de Panteia-tool hanteert afwijkende SPRILA-bedragen</t>
        </is>
      </c>
    </row>
    <row r="29">
      <c r="B29" s="5" t="inlineStr">
        <is>
          <t>2. UIT HET VOERTUIGTYPE (Panteia)</t>
        </is>
      </c>
      <c r="C29" s="5" t="n"/>
      <c r="D29" s="5" t="n"/>
      <c r="E29" s="5" t="n"/>
      <c r="F29" s="5" t="n"/>
      <c r="G29" s="5" t="n"/>
    </row>
    <row r="30">
      <c r="B30" s="6" t="inlineStr">
        <is>
          <t>AanZET-categorie</t>
        </is>
      </c>
      <c r="C30" s="15">
        <f>INDEX('Panteia-parameters'!$J$6:$J$10,MATCH($C$10,'Panteia-parameters'!$B$6:$B$10,0))</f>
        <v/>
      </c>
    </row>
    <row r="31">
      <c r="B31" s="6" t="inlineStr">
        <is>
          <t>Panteia-verbruik diesel (l/km) — referentie</t>
        </is>
      </c>
      <c r="C31" s="16">
        <f>INDEX('Panteia-parameters'!$C$6:$C$10,MATCH($C$10,'Panteia-parameters'!$B$6:$B$10,0))</f>
        <v/>
      </c>
      <c r="E31" s="2" t="inlineStr">
        <is>
          <t>Ter vergelijking met jullie eigen 1 op-cijfer hierboven</t>
        </is>
      </c>
    </row>
    <row r="32">
      <c r="B32" s="6" t="inlineStr">
        <is>
          <t>Stroomverbruik e-truck (kWh/km)</t>
        </is>
      </c>
      <c r="C32" s="17">
        <f>INDEX('Panteia-parameters'!$D$6:$D$10,MATCH($C$10,'Panteia-parameters'!$B$6:$B$10,0))</f>
        <v/>
      </c>
      <c r="E32" s="2" t="inlineStr">
        <is>
          <t>Inclusief laadverliezen</t>
        </is>
      </c>
    </row>
    <row r="33">
      <c r="B33" s="6" t="inlineStr">
        <is>
          <t>Onderhoud diesel (€/km)</t>
        </is>
      </c>
      <c r="C33" s="18">
        <f>INDEX('Panteia-parameters'!$E$6:$E$10,MATCH($C$10,'Panteia-parameters'!$B$6:$B$10,0))</f>
        <v/>
      </c>
    </row>
    <row r="34">
      <c r="B34" s="6" t="inlineStr">
        <is>
          <t>Onderhoud elektrisch (€/km)</t>
        </is>
      </c>
      <c r="C34" s="18">
        <f>INDEX('Panteia-parameters'!$F$6:$F$10,MATCH($C$10,'Panteia-parameters'!$B$6:$B$10,0))</f>
        <v/>
      </c>
    </row>
    <row r="35">
      <c r="B35" s="6" t="inlineStr">
        <is>
          <t>Reparaties per jaar (beide)</t>
        </is>
      </c>
      <c r="C35" s="19">
        <f>INDEX('Panteia-parameters'!$G$6:$G$10,MATCH($C$10,'Panteia-parameters'!$B$6:$B$10,0))</f>
        <v/>
      </c>
    </row>
    <row r="36">
      <c r="B36" s="6" t="inlineStr">
        <is>
          <t>Banden (€/km, beide)</t>
        </is>
      </c>
      <c r="C36" s="18">
        <f>INDEX('Panteia-parameters'!$H$6:$H$10,MATCH($C$10,'Panteia-parameters'!$B$6:$B$10,0))</f>
        <v/>
      </c>
    </row>
    <row r="37">
      <c r="B37" s="6" t="inlineStr">
        <is>
          <t>Motorrijtuigenbelasting per jaar</t>
        </is>
      </c>
      <c r="C37" s="19">
        <f>INDEX('Panteia-parameters'!$I$6:$I$10,MATCH($C$10,'Panteia-parameters'!$B$6:$B$10,0))</f>
        <v/>
      </c>
      <c r="E37" s="2" t="inlineStr">
        <is>
          <t>Gelijk verondersteld voor diesel en elektrisch — valt vanaf 1-7-2026 terug naar het EU-minimum</t>
        </is>
      </c>
    </row>
    <row r="39">
      <c r="B39" s="5" t="inlineStr">
        <is>
          <t>3. AANZET-SUBSIDIE</t>
        </is>
      </c>
      <c r="C39" s="5" t="n"/>
      <c r="D39" s="5" t="n"/>
      <c r="E39" s="5" t="n"/>
      <c r="F39" s="5" t="n"/>
      <c r="G39" s="5" t="n"/>
    </row>
    <row r="40">
      <c r="B40" s="6" t="inlineStr">
        <is>
          <t>Subsidiepercentage</t>
        </is>
      </c>
      <c r="C40" s="20">
        <f>SUMIFS('Panteia-parameters'!$E$16:$E$27,'Panteia-parameters'!$C$16:$C$27,$C$30,'Panteia-parameters'!$D$16:$D$27,$C$9)</f>
        <v/>
      </c>
    </row>
    <row r="41">
      <c r="B41" s="6" t="inlineStr">
        <is>
          <t>Maximum per voertuig</t>
        </is>
      </c>
      <c r="C41" s="21">
        <f>SUMIFS('Panteia-parameters'!$F$16:$F$27,'Panteia-parameters'!$C$16:$C$27,$C$30,'Panteia-parameters'!$D$16:$D$27,$C$9)</f>
        <v/>
      </c>
    </row>
    <row r="42">
      <c r="B42" s="6" t="inlineStr">
        <is>
          <t>Meerprijs t.o.v. diesel</t>
        </is>
      </c>
      <c r="C42" s="21">
        <f>MAX(0,$C$13-$C$14)</f>
        <v/>
      </c>
    </row>
    <row r="43">
      <c r="B43" s="6" t="inlineStr">
        <is>
          <t>Staatssteunplafond (% van meerprijs)</t>
        </is>
      </c>
      <c r="C43" s="20">
        <f>INDEX('Panteia-parameters'!$D$31:$D$33,MATCH($C$9,'Panteia-parameters'!$C$31:$C$33,0))</f>
        <v/>
      </c>
    </row>
    <row r="44">
      <c r="B44" s="6" t="inlineStr">
        <is>
          <t>Staatssteunplafond in euro</t>
        </is>
      </c>
      <c r="C44" s="21">
        <f>C43*C42</f>
        <v/>
      </c>
    </row>
    <row r="45">
      <c r="B45" s="6" t="inlineStr">
        <is>
          <t>AanZET per truck</t>
        </is>
      </c>
      <c r="C45" s="22">
        <f>MIN($C$13*C40,C41,C44)</f>
        <v/>
      </c>
      <c r="E45" s="2" t="inlineStr">
        <is>
          <t>Drie plafonds tegelijk — dezelfde MIN-constructie als M2-Subsidie!B20</t>
        </is>
      </c>
    </row>
    <row r="46">
      <c r="B46" s="6" t="inlineStr">
        <is>
          <t>AanZET totaal</t>
        </is>
      </c>
      <c r="C46" s="22">
        <f>C45*$C$7</f>
        <v/>
      </c>
    </row>
    <row r="47">
      <c r="B47" s="6" t="inlineStr">
        <is>
          <t>Welk plafond bijt?</t>
        </is>
      </c>
      <c r="C47" s="23">
        <f>IF(C45=C44,"staatssteunplafond",IF(C45=C41,"maximum per voertuig","percentage"))</f>
        <v/>
      </c>
    </row>
    <row r="49">
      <c r="B49" s="5" t="inlineStr">
        <is>
          <t>4. EXTRA INVESTERING TEN OPZICHTE VAN DIESEL</t>
        </is>
      </c>
      <c r="C49" s="5" t="n"/>
      <c r="D49" s="5" t="n"/>
      <c r="E49" s="5" t="n"/>
      <c r="F49" s="5" t="n"/>
      <c r="G49" s="5" t="n"/>
    </row>
    <row r="50">
      <c r="B50" s="6" t="inlineStr">
        <is>
          <t>Meerprijs per truck</t>
        </is>
      </c>
      <c r="C50" s="21">
        <f>C42</f>
        <v/>
      </c>
    </row>
    <row r="51">
      <c r="B51" s="6" t="inlineStr">
        <is>
          <t>EIA-grondslag per truck</t>
        </is>
      </c>
      <c r="C51" s="21">
        <f>MAX(0,IF($C$25="Ja",$C$13,C50)-C45)</f>
        <v/>
      </c>
    </row>
    <row r="52">
      <c r="B52" s="6" t="inlineStr">
        <is>
          <t>EIA-voordeel per truck (kaseffect)</t>
        </is>
      </c>
      <c r="C52" s="21">
        <f>C51*$C$24*$C$23</f>
        <v/>
      </c>
    </row>
    <row r="53">
      <c r="B53" s="6" t="inlineStr">
        <is>
          <t>Netto meerprijs per truck</t>
        </is>
      </c>
      <c r="C53" s="21">
        <f>C50-C45-C52</f>
        <v/>
      </c>
    </row>
    <row r="54">
      <c r="B54" s="6" t="inlineStr">
        <is>
          <t>Netto meerprijs alle trucks</t>
        </is>
      </c>
      <c r="C54" s="21">
        <f>C53*$C$7</f>
        <v/>
      </c>
    </row>
    <row r="55">
      <c r="B55" s="6" t="inlineStr">
        <is>
          <t>Laadinfrastructuur na SPRILA</t>
        </is>
      </c>
      <c r="C55" s="21">
        <f>$C$26-$C$27</f>
        <v/>
      </c>
    </row>
    <row r="56">
      <c r="B56" s="6" t="inlineStr">
        <is>
          <t>TOTALE EXTRA INVESTERING</t>
        </is>
      </c>
      <c r="C56" s="22">
        <f>C54+C55</f>
        <v/>
      </c>
    </row>
    <row r="58">
      <c r="B58" s="5" t="inlineStr">
        <is>
          <t>5. JAARLIJKSE EXPLOITATIEKOSTEN PER TRUCK</t>
        </is>
      </c>
      <c r="C58" s="5" t="n"/>
      <c r="D58" s="5" t="n"/>
      <c r="E58" s="5" t="n"/>
      <c r="F58" s="5" t="n"/>
      <c r="G58" s="5" t="n"/>
    </row>
    <row r="59">
      <c r="B59" s="6" t="inlineStr">
        <is>
          <t>Diesel — brandstof</t>
        </is>
      </c>
      <c r="C59" s="21">
        <f>$C$8*$C$12*$C$15</f>
        <v/>
      </c>
    </row>
    <row r="60">
      <c r="B60" s="6" t="inlineStr">
        <is>
          <t>Diesel — vrachtwagenheffing</t>
        </is>
      </c>
      <c r="C60" s="21">
        <f>$C$8*$C$20</f>
        <v/>
      </c>
    </row>
    <row r="61">
      <c r="B61" s="6" t="inlineStr">
        <is>
          <t>Diesel — onderhoud</t>
        </is>
      </c>
      <c r="C61" s="21">
        <f>$C$8*C33</f>
        <v/>
      </c>
    </row>
    <row r="62">
      <c r="B62" s="6" t="inlineStr">
        <is>
          <t>Diesel — banden</t>
        </is>
      </c>
      <c r="C62" s="21">
        <f>$C$8*C36</f>
        <v/>
      </c>
    </row>
    <row r="63">
      <c r="B63" s="6" t="inlineStr">
        <is>
          <t>Diesel — reparaties</t>
        </is>
      </c>
      <c r="C63" s="21">
        <f>C35</f>
        <v/>
      </c>
    </row>
    <row r="64">
      <c r="B64" s="6" t="inlineStr">
        <is>
          <t>Diesel — motorrijtuigenbelasting</t>
        </is>
      </c>
      <c r="C64" s="21">
        <f>C37</f>
        <v/>
      </c>
    </row>
    <row r="65">
      <c r="B65" s="6" t="inlineStr">
        <is>
          <t>Diesel totaal</t>
        </is>
      </c>
      <c r="C65" s="22">
        <f>SUM(C59:C64)</f>
        <v/>
      </c>
    </row>
    <row r="66">
      <c r="B66" s="6" t="inlineStr">
        <is>
          <t>Elektrisch — stroom</t>
        </is>
      </c>
      <c r="C66" s="21">
        <f>$C$8*C32*$C$19</f>
        <v/>
      </c>
    </row>
    <row r="67">
      <c r="B67" s="6" t="inlineStr">
        <is>
          <t>Elektrisch — vrachtwagenheffing</t>
        </is>
      </c>
      <c r="C67" s="21">
        <f>$C$8*$C$21</f>
        <v/>
      </c>
    </row>
    <row r="68">
      <c r="B68" s="6" t="inlineStr">
        <is>
          <t>Elektrisch — onderhoud</t>
        </is>
      </c>
      <c r="C68" s="21">
        <f>$C$8*C34</f>
        <v/>
      </c>
    </row>
    <row r="69">
      <c r="B69" s="6" t="inlineStr">
        <is>
          <t>Elektrisch — banden</t>
        </is>
      </c>
      <c r="C69" s="21">
        <f>$C$8*C36</f>
        <v/>
      </c>
    </row>
    <row r="70">
      <c r="B70" s="6" t="inlineStr">
        <is>
          <t>Elektrisch — reparaties</t>
        </is>
      </c>
      <c r="C70" s="21">
        <f>C35</f>
        <v/>
      </c>
    </row>
    <row r="71">
      <c r="B71" s="6" t="inlineStr">
        <is>
          <t>Elektrisch — motorrijtuigenbelasting</t>
        </is>
      </c>
      <c r="C71" s="21">
        <f>C37</f>
        <v/>
      </c>
    </row>
    <row r="72">
      <c r="B72" s="6" t="inlineStr">
        <is>
          <t>Elektrisch — extra chauffeurskosten</t>
        </is>
      </c>
      <c r="C72" s="21">
        <f>$C$22</f>
        <v/>
      </c>
    </row>
    <row r="73">
      <c r="B73" s="6" t="inlineStr">
        <is>
          <t>Elektrisch totaal</t>
        </is>
      </c>
      <c r="C73" s="22">
        <f>SUM(C66:C72)</f>
        <v/>
      </c>
    </row>
    <row r="74">
      <c r="B74" s="6" t="inlineStr">
        <is>
          <t>Besparing per truck per jaar</t>
        </is>
      </c>
      <c r="C74" s="21">
        <f>C65-C73</f>
        <v/>
      </c>
    </row>
    <row r="75">
      <c r="B75" s="6" t="inlineStr">
        <is>
          <t>Besparing alle trucks per jaar</t>
        </is>
      </c>
      <c r="C75" s="22">
        <f>C74*$C$7</f>
        <v/>
      </c>
    </row>
    <row r="77">
      <c r="B77" s="5" t="inlineStr">
        <is>
          <t>6. UITKOMST ZONDER ERE</t>
        </is>
      </c>
      <c r="C77" s="5" t="n"/>
      <c r="D77" s="5" t="n"/>
      <c r="E77" s="5" t="n"/>
      <c r="F77" s="5" t="n"/>
      <c r="G77" s="5" t="n"/>
    </row>
    <row r="78">
      <c r="B78" s="6" t="inlineStr">
        <is>
          <t>Totale extra investering</t>
        </is>
      </c>
      <c r="C78" s="21">
        <f>C56</f>
        <v/>
      </c>
    </row>
    <row r="79">
      <c r="B79" s="6" t="inlineStr">
        <is>
          <t>Besparing per jaar</t>
        </is>
      </c>
      <c r="C79" s="21">
        <f>C75</f>
        <v/>
      </c>
    </row>
    <row r="80">
      <c r="B80" s="6" t="inlineStr">
        <is>
          <t>Terugverdientijd (jaren)</t>
        </is>
      </c>
      <c r="C80" s="24">
        <f>IF(C79&lt;=0,"nooit",C56/C79)</f>
        <v/>
      </c>
    </row>
    <row r="82">
      <c r="B82" s="5" t="inlineStr">
        <is>
          <t>7. ERE — EMISSIEREDUCTIE-EENHEDEN</t>
        </is>
      </c>
      <c r="C82" s="5" t="n"/>
      <c r="D82" s="5" t="n"/>
      <c r="E82" s="5" t="n"/>
      <c r="F82" s="5" t="n"/>
      <c r="G82" s="5" t="n"/>
    </row>
    <row r="83">
      <c r="B83" s="6" t="inlineStr">
        <is>
          <t>Geladen kWh per jaar (beide trucks)</t>
        </is>
      </c>
      <c r="C83" s="25">
        <f>$C$8*C32*$C$7</f>
        <v/>
      </c>
    </row>
    <row r="84">
      <c r="B84" s="6" t="inlineStr">
        <is>
          <t>ERE-waarde per geladen kWh</t>
        </is>
      </c>
      <c r="C84" s="12" t="n">
        <v>0.1</v>
      </c>
      <c r="E84" s="2" t="inlineStr">
        <is>
          <t>Bandbreedte € 0,07 - € 0,14; circa € 0,10 in 2026. Aantoonbaar hernieuwbaar levert de bovenkant op</t>
        </is>
      </c>
    </row>
    <row r="85">
      <c r="B85" s="6" t="inlineStr">
        <is>
          <t>Commissie inboekdienstverlener</t>
        </is>
      </c>
      <c r="C85" s="13" t="n">
        <v>0.15</v>
      </c>
      <c r="E85" s="2" t="inlineStr">
        <is>
          <t>AANNAME — opvragen. Inboeken kan alleen via een dienstverlener, tenzij je zelf &gt; 2 mln kWh per jaar laadt</t>
        </is>
      </c>
    </row>
    <row r="86">
      <c r="B86" s="6" t="inlineStr">
        <is>
          <t>Bruto ERE-opbrengst per jaar</t>
        </is>
      </c>
      <c r="C86" s="21">
        <f>C83*C84</f>
        <v/>
      </c>
    </row>
    <row r="87">
      <c r="B87" s="6" t="inlineStr">
        <is>
          <t>Netto ERE-opbrengst per jaar</t>
        </is>
      </c>
      <c r="C87" s="22">
        <f>C86*(1-C85)</f>
        <v/>
      </c>
    </row>
    <row r="89">
      <c r="B89" s="5" t="inlineStr">
        <is>
          <t>8. UITKOMST MET ERE</t>
        </is>
      </c>
      <c r="C89" s="5" t="n"/>
      <c r="D89" s="5" t="n"/>
      <c r="E89" s="5" t="n"/>
      <c r="F89" s="5" t="n"/>
      <c r="G89" s="5" t="n"/>
    </row>
    <row r="90">
      <c r="B90" s="6" t="inlineStr">
        <is>
          <t>Besparing per jaar inclusief ERE</t>
        </is>
      </c>
      <c r="C90" s="21">
        <f>C75+C87</f>
        <v/>
      </c>
    </row>
    <row r="91">
      <c r="B91" s="6" t="inlineStr">
        <is>
          <t>TERUGVERDIENTIJD (jaren)</t>
        </is>
      </c>
      <c r="C91" s="26">
        <f>IF(C90&lt;=0,"nooit",C56/C90)</f>
        <v/>
      </c>
    </row>
    <row r="92">
      <c r="B92" s="27" t="inlineStr">
        <is>
          <t>Restwaarde staat aan beide kanten op nul. Accuvervanging, financieringskosten en ETS2 zitten er niet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20" customWidth="1" min="4" max="4"/>
    <col width="16" customWidth="1" min="5" max="5"/>
    <col width="22" customWidth="1" min="6" max="6"/>
    <col width="18" customWidth="1" min="7" max="7"/>
    <col width="16" customWidth="1" min="8" max="8"/>
    <col width="18" customWidth="1" min="9" max="9"/>
    <col width="26" customWidth="1" min="10" max="10"/>
    <col width="90" customWidth="1" min="11" max="11"/>
  </cols>
  <sheetData>
    <row r="1">
      <c r="B1" s="28" t="inlineStr">
        <is>
          <t>Parameters overgenomen uit TCO-ZET-Vracht v7.3 (Panteia / Topsector Logistiek, 23-09-2024)</t>
        </is>
      </c>
    </row>
    <row r="2">
      <c r="B2" s="2" t="inlineStr">
        <is>
          <t>Basisjaar 2024. Blauw = letterlijk uit de tool, met broncel erbij.</t>
        </is>
      </c>
    </row>
    <row r="4">
      <c r="B4" s="5" t="inlineStr">
        <is>
          <t>VOERTUIGTYPEN</t>
        </is>
      </c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B5" s="29" t="inlineStr">
        <is>
          <t>Voertuigtype</t>
        </is>
      </c>
      <c r="C5" s="29" t="inlineStr">
        <is>
          <t>Diesel [l/km]</t>
        </is>
      </c>
      <c r="D5" s="29" t="inlineStr">
        <is>
          <t>Elektrisch [kWh/km]</t>
        </is>
      </c>
      <c r="E5" s="29" t="inlineStr">
        <is>
          <t>Onderhoud diesel [€/km]</t>
        </is>
      </c>
      <c r="F5" s="29" t="inlineStr">
        <is>
          <t>Onderhoud elektrisch [€/km]</t>
        </is>
      </c>
      <c r="G5" s="29" t="inlineStr">
        <is>
          <t>Reparaties [€/jaar]</t>
        </is>
      </c>
      <c r="H5" s="29" t="inlineStr">
        <is>
          <t>Banden [€/km]</t>
        </is>
      </c>
      <c r="I5" s="29" t="inlineStr">
        <is>
          <t>Wegenbelasting [€/jaar]</t>
        </is>
      </c>
      <c r="J5" s="29" t="inlineStr">
        <is>
          <t>AanZET-categorie</t>
        </is>
      </c>
    </row>
    <row r="6">
      <c r="B6" s="30" t="inlineStr">
        <is>
          <t>Kleine bakwagen</t>
        </is>
      </c>
      <c r="C6" s="31" t="n">
        <v>0.1323997619652777</v>
      </c>
      <c r="D6" s="32" t="n">
        <v>0.4761551824999992</v>
      </c>
      <c r="E6" s="33" t="n">
        <v>0.05729283728200001</v>
      </c>
      <c r="F6" s="33" t="n">
        <v>0.02864641864100001</v>
      </c>
      <c r="G6" s="34" t="n">
        <v>551.25</v>
      </c>
      <c r="H6" s="33" t="n">
        <v>0.023121345</v>
      </c>
      <c r="I6" s="34" t="n">
        <v>380</v>
      </c>
      <c r="J6" s="30" t="inlineStr">
        <is>
          <t>N2</t>
        </is>
      </c>
    </row>
    <row r="7">
      <c r="B7" s="30" t="inlineStr">
        <is>
          <t>Medium bakwagen</t>
        </is>
      </c>
      <c r="C7" s="31" t="n">
        <v>0.2106393949902324</v>
      </c>
      <c r="D7" s="32" t="n">
        <v>0.9519194221532747</v>
      </c>
      <c r="E7" s="33" t="n">
        <v>0.06302015160140001</v>
      </c>
      <c r="F7" s="33" t="n">
        <v>0.0315100758007</v>
      </c>
      <c r="G7" s="34" t="n">
        <v>551.25</v>
      </c>
      <c r="H7" s="33" t="n">
        <v>0.0227691285</v>
      </c>
      <c r="I7" s="34" t="n">
        <v>380</v>
      </c>
      <c r="J7" s="30" t="inlineStr">
        <is>
          <t>N3 Bakwagen (lvm &lt;= 18t)</t>
        </is>
      </c>
    </row>
    <row r="8">
      <c r="B8" s="30" t="inlineStr">
        <is>
          <t>Grote bakwagen</t>
        </is>
      </c>
      <c r="C8" s="31" t="n">
        <v>0.2697424784835717</v>
      </c>
      <c r="D8" s="32" t="n">
        <v>1.327285842517089</v>
      </c>
      <c r="E8" s="33" t="n">
        <v>0.06874746592080001</v>
      </c>
      <c r="F8" s="33" t="n">
        <v>0.03437373296040001</v>
      </c>
      <c r="G8" s="34" t="n">
        <v>1102.5</v>
      </c>
      <c r="H8" s="33" t="n">
        <v>0.022416912</v>
      </c>
      <c r="I8" s="34" t="n">
        <v>380</v>
      </c>
      <c r="J8" s="30" t="inlineStr">
        <is>
          <t>N3 Bakwagen (lvm &gt; 18t)</t>
        </is>
      </c>
    </row>
    <row r="9">
      <c r="B9" s="30" t="inlineStr">
        <is>
          <t>Lichte trekker z/opl</t>
        </is>
      </c>
      <c r="C9" s="31" t="n">
        <v>0.2794114755568611</v>
      </c>
      <c r="D9" s="32" t="n">
        <v>1.299629854013712</v>
      </c>
      <c r="E9" s="33" t="n">
        <v>0.0801939981012</v>
      </c>
      <c r="F9" s="33" t="n">
        <v>0.0400969990506</v>
      </c>
      <c r="G9" s="34" t="n">
        <v>1653.75</v>
      </c>
      <c r="H9" s="33" t="n">
        <v>0.03444994</v>
      </c>
      <c r="I9" s="34" t="n">
        <v>1028</v>
      </c>
      <c r="J9" s="30" t="inlineStr">
        <is>
          <t>N3 Trekker</t>
        </is>
      </c>
    </row>
    <row r="10">
      <c r="B10" s="30" t="inlineStr">
        <is>
          <t>Zware trekker z/opl</t>
        </is>
      </c>
      <c r="C10" s="31" t="n">
        <v>0.3413502921361025</v>
      </c>
      <c r="D10" s="32" t="n">
        <v>1.155</v>
      </c>
      <c r="E10" s="33" t="n">
        <v>0.09164053028160001</v>
      </c>
      <c r="F10" s="33" t="n">
        <v>0.0458202651408</v>
      </c>
      <c r="G10" s="34" t="n">
        <v>1653.75</v>
      </c>
      <c r="H10" s="33" t="n">
        <v>0.04648296799999999</v>
      </c>
      <c r="I10" s="34" t="n">
        <v>1028</v>
      </c>
      <c r="J10" s="30" t="inlineStr">
        <is>
          <t>N3 Trekker</t>
        </is>
      </c>
      <c r="K10" s="27" t="inlineStr">
        <is>
          <t>VERVANGEN — Volvo ERS 18-08-2026, route Ens-Naaldwijk: 1,09 kWh/km uit de accu + 6% laadverlies</t>
        </is>
      </c>
    </row>
    <row r="12">
      <c r="B12" s="2" t="inlineStr">
        <is>
          <t>Bron: blad 'Invoer en categorieën', tabellen B21:K25 en B31:O35; categorie uit 'M2-Subsidie' F27:G31</t>
        </is>
      </c>
    </row>
    <row r="14">
      <c r="B14" s="5" t="inlineStr">
        <is>
          <t>AANZET 2026 — PERCENTAGES EN MAXIMA</t>
        </is>
      </c>
      <c r="C14" s="5" t="n"/>
      <c r="D14" s="5" t="n"/>
      <c r="E14" s="5" t="n"/>
      <c r="F14" s="5" t="n"/>
    </row>
    <row r="15">
      <c r="C15" s="35" t="inlineStr">
        <is>
          <t>AanZET-categorie</t>
        </is>
      </c>
      <c r="D15" s="35" t="inlineStr">
        <is>
          <t>Ondernemingsgrootte</t>
        </is>
      </c>
      <c r="E15" s="35" t="inlineStr">
        <is>
          <t>Max. steun [%]</t>
        </is>
      </c>
      <c r="F15" s="35" t="inlineStr">
        <is>
          <t>Max. steun [€]</t>
        </is>
      </c>
    </row>
    <row r="16">
      <c r="C16" s="36" t="inlineStr">
        <is>
          <t>N2</t>
        </is>
      </c>
      <c r="D16" s="36" t="inlineStr">
        <is>
          <t>Middelgroot</t>
        </is>
      </c>
      <c r="E16" s="37" t="n">
        <v>0.12</v>
      </c>
      <c r="F16" s="34" t="n">
        <v>14700</v>
      </c>
    </row>
    <row r="17">
      <c r="C17" s="36" t="inlineStr">
        <is>
          <t>N2</t>
        </is>
      </c>
      <c r="D17" s="36" t="inlineStr">
        <is>
          <t>Klein</t>
        </is>
      </c>
      <c r="E17" s="37" t="n">
        <v>0.148</v>
      </c>
      <c r="F17" s="34" t="n">
        <v>18800</v>
      </c>
    </row>
    <row r="18">
      <c r="C18" s="36" t="inlineStr">
        <is>
          <t>N2</t>
        </is>
      </c>
      <c r="D18" s="36" t="inlineStr">
        <is>
          <t>Groot</t>
        </is>
      </c>
      <c r="E18" s="37" t="n">
        <v>0.061</v>
      </c>
      <c r="F18" s="34" t="n">
        <v>7500</v>
      </c>
    </row>
    <row r="19">
      <c r="C19" s="36" t="inlineStr">
        <is>
          <t>N3 Bakwagen (lvm &lt;= 18t)</t>
        </is>
      </c>
      <c r="D19" s="36" t="inlineStr">
        <is>
          <t>Middelgroot</t>
        </is>
      </c>
      <c r="E19" s="37" t="n">
        <v>0.2</v>
      </c>
      <c r="F19" s="34" t="n">
        <v>60500</v>
      </c>
    </row>
    <row r="20">
      <c r="C20" s="36" t="inlineStr">
        <is>
          <t>N3 Bakwagen (lvm &lt;= 18t)</t>
        </is>
      </c>
      <c r="D20" s="36" t="inlineStr">
        <is>
          <t>Klein</t>
        </is>
      </c>
      <c r="E20" s="37" t="n">
        <v>0.286</v>
      </c>
      <c r="F20" s="34" t="n">
        <v>86600</v>
      </c>
    </row>
    <row r="21">
      <c r="C21" s="36" t="inlineStr">
        <is>
          <t>N3 Bakwagen (lvm &lt;= 18t)</t>
        </is>
      </c>
      <c r="D21" s="36" t="inlineStr">
        <is>
          <t>Groot</t>
        </is>
      </c>
      <c r="E21" s="37" t="n">
        <v>0.103</v>
      </c>
      <c r="F21" s="34" t="n">
        <v>31100</v>
      </c>
    </row>
    <row r="22">
      <c r="C22" s="36" t="inlineStr">
        <is>
          <t>N3 Bakwagen (lvm &gt; 18t)</t>
        </is>
      </c>
      <c r="D22" s="36" t="inlineStr">
        <is>
          <t>Middelgroot</t>
        </is>
      </c>
      <c r="E22" s="37" t="n">
        <v>0.21</v>
      </c>
      <c r="F22" s="34" t="n">
        <v>83200</v>
      </c>
    </row>
    <row r="23">
      <c r="C23" s="36" t="inlineStr">
        <is>
          <t>N3 Bakwagen (lvm &gt; 18t)</t>
        </is>
      </c>
      <c r="D23" s="36" t="inlineStr">
        <is>
          <t>Klein</t>
        </is>
      </c>
      <c r="E23" s="37" t="n">
        <v>0.29</v>
      </c>
      <c r="F23" s="34" t="n">
        <v>115200</v>
      </c>
    </row>
    <row r="24">
      <c r="C24" s="36" t="inlineStr">
        <is>
          <t>N3 Bakwagen (lvm &gt; 18t)</t>
        </is>
      </c>
      <c r="D24" s="36" t="inlineStr">
        <is>
          <t>Groot</t>
        </is>
      </c>
      <c r="E24" s="37" t="n">
        <v>0.111</v>
      </c>
      <c r="F24" s="34" t="n">
        <v>43900</v>
      </c>
    </row>
    <row r="25">
      <c r="C25" s="36" t="inlineStr">
        <is>
          <t>N3 Trekker</t>
        </is>
      </c>
      <c r="D25" s="36" t="inlineStr">
        <is>
          <t>Middelgroot</t>
        </is>
      </c>
      <c r="E25" s="37" t="n">
        <v>0.21</v>
      </c>
      <c r="F25" s="34" t="n">
        <v>83200</v>
      </c>
    </row>
    <row r="26">
      <c r="C26" s="36" t="inlineStr">
        <is>
          <t>N3 Trekker</t>
        </is>
      </c>
      <c r="D26" s="36" t="inlineStr">
        <is>
          <t>Klein</t>
        </is>
      </c>
      <c r="E26" s="37" t="n">
        <v>0.29</v>
      </c>
      <c r="F26" s="34" t="n">
        <v>115200</v>
      </c>
    </row>
    <row r="27">
      <c r="C27" s="36" t="inlineStr">
        <is>
          <t>N3 Trekker</t>
        </is>
      </c>
      <c r="D27" s="36" t="inlineStr">
        <is>
          <t>Groot</t>
        </is>
      </c>
      <c r="E27" s="37" t="n">
        <v>0.111</v>
      </c>
      <c r="F27" s="34" t="n">
        <v>43900</v>
      </c>
    </row>
    <row r="28">
      <c r="B28" s="2" t="inlineStr">
        <is>
          <t>Bron: blad 'M2-Subsidie' F5:I17. Komt exact overeen met de bedragen die RVO en de dealers publiceren.</t>
        </is>
      </c>
    </row>
    <row r="30">
      <c r="B30" s="5" t="inlineStr">
        <is>
          <t>STAATSSTEUNPLAFOND — MAXIMALE STEUN ALS % VAN DE MEERPRIJS</t>
        </is>
      </c>
      <c r="C30" s="5" t="n"/>
      <c r="D30" s="5" t="n"/>
      <c r="E30" s="5" t="n"/>
    </row>
    <row r="31">
      <c r="C31" s="36" t="inlineStr">
        <is>
          <t>Groot</t>
        </is>
      </c>
      <c r="D31" s="37" t="n">
        <v>0.4</v>
      </c>
    </row>
    <row r="32">
      <c r="C32" s="36" t="inlineStr">
        <is>
          <t>Middelgroot</t>
        </is>
      </c>
      <c r="D32" s="37" t="n">
        <v>0.5</v>
      </c>
    </row>
    <row r="33">
      <c r="C33" s="36" t="inlineStr">
        <is>
          <t>Klein</t>
        </is>
      </c>
      <c r="D33" s="37" t="n">
        <v>0.6</v>
      </c>
    </row>
    <row r="35">
      <c r="B35" s="2" t="inlineStr">
        <is>
          <t>Bron: blad 'M2-Subsidie' F21:G23. Werkt als derde plafond naast percentage en maximumbedrag.</t>
        </is>
      </c>
    </row>
    <row r="37">
      <c r="B37" s="5" t="inlineStr">
        <is>
          <t>ENERGIE- EN FINANCIELE PARAMETERS</t>
        </is>
      </c>
      <c r="C37" s="5" t="n"/>
      <c r="D37" s="5" t="n"/>
      <c r="E37" s="5" t="n"/>
    </row>
    <row r="38">
      <c r="C38" s="6" t="inlineStr">
        <is>
          <t>Kale dieselprijs [€/l]</t>
        </is>
      </c>
      <c r="D38" s="33" t="n">
        <v>1.09</v>
      </c>
      <c r="F38" s="2" t="inlineStr">
        <is>
          <t>Parameters D4</t>
        </is>
      </c>
    </row>
    <row r="39">
      <c r="C39" s="6" t="inlineStr">
        <is>
          <t>Accijns diesel [€/l]</t>
        </is>
      </c>
      <c r="D39" s="33" t="n">
        <v>0.5163</v>
      </c>
      <c r="F39" s="2" t="inlineStr">
        <is>
          <t>Parameters D5</t>
        </is>
      </c>
    </row>
    <row r="40">
      <c r="C40" s="6" t="inlineStr">
        <is>
          <t>Inkoopprijs netstroom [€/kWh]</t>
        </is>
      </c>
      <c r="D40" s="33" t="n">
        <v>0.21537</v>
      </c>
      <c r="F40" s="2" t="inlineStr">
        <is>
          <t>Parameters D6</t>
        </is>
      </c>
    </row>
    <row r="41">
      <c r="C41" s="6" t="inlineStr">
        <is>
          <t>Prijs eigen opwek [€/kWh]</t>
        </is>
      </c>
      <c r="D41" s="33" t="n">
        <v>0.11</v>
      </c>
      <c r="F41" s="2" t="inlineStr">
        <is>
          <t>Parameters J47</t>
        </is>
      </c>
    </row>
    <row r="42">
      <c r="C42" s="6" t="inlineStr">
        <is>
          <t>Fractie eigen opwek</t>
        </is>
      </c>
      <c r="D42" s="37" t="n">
        <v>0.5</v>
      </c>
      <c r="F42" s="2" t="inlineStr">
        <is>
          <t>Parameters J46</t>
        </is>
      </c>
    </row>
    <row r="43">
      <c r="C43" s="6" t="inlineStr">
        <is>
          <t>Rente</t>
        </is>
      </c>
      <c r="D43" s="37" t="n">
        <v>0.039</v>
      </c>
      <c r="F43" s="2" t="inlineStr">
        <is>
          <t>Parameters D30</t>
        </is>
      </c>
    </row>
    <row r="44">
      <c r="C44" s="6" t="inlineStr">
        <is>
          <t>Verzekering (% van bruto aanschaf)</t>
        </is>
      </c>
      <c r="D44" s="37" t="n">
        <v>0.03568675887</v>
      </c>
      <c r="F44" s="2" t="inlineStr">
        <is>
          <t>Parameters D31</t>
        </is>
      </c>
    </row>
    <row r="45">
      <c r="C45" s="6" t="inlineStr">
        <is>
          <t>Restwaarde na 7 jaar</t>
        </is>
      </c>
      <c r="D45" s="37" t="n">
        <v>0.23</v>
      </c>
      <c r="F45" s="2" t="inlineStr">
        <is>
          <t>Parameters I21</t>
        </is>
      </c>
    </row>
    <row r="46">
      <c r="C46" s="6" t="inlineStr">
        <is>
          <t>Economische levensduur [jaar]</t>
        </is>
      </c>
      <c r="D46" s="38" t="n">
        <v>7</v>
      </c>
      <c r="F46" s="2" t="inlineStr">
        <is>
          <t>Input-Output Module D36</t>
        </is>
      </c>
    </row>
    <row r="47">
      <c r="C47" s="6" t="inlineStr">
        <is>
          <t>Jaarlijkse stijging dieselprijs</t>
        </is>
      </c>
      <c r="D47" s="37" t="n">
        <v>0.01</v>
      </c>
      <c r="F47" s="2" t="inlineStr">
        <is>
          <t>Parameters I31</t>
        </is>
      </c>
    </row>
    <row r="48">
      <c r="C48" s="6" t="inlineStr">
        <is>
          <t>Jaarlijkse stijging energiekosten</t>
        </is>
      </c>
      <c r="D48" s="37" t="n">
        <v>0.01</v>
      </c>
      <c r="F48" s="2" t="inlineStr">
        <is>
          <t>Parameters I32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41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4" customWidth="1" min="4" max="4"/>
    <col width="24" customWidth="1" min="5" max="5"/>
  </cols>
  <sheetData>
    <row r="1">
      <c r="B1" s="1" t="inlineStr">
        <is>
          <t>Gevoeligheidsanalyse</t>
        </is>
      </c>
    </row>
    <row r="2">
      <c r="B2" s="2" t="inlineStr">
        <is>
          <t>Rekent live mee met blad Model. Alleen de eerste kolom is invoer.</t>
        </is>
      </c>
    </row>
    <row r="4">
      <c r="B4" s="5" t="inlineStr">
        <is>
          <t>A. KILOMETERS PER TRUCK PER JAAR</t>
        </is>
      </c>
      <c r="C4" s="5" t="n"/>
      <c r="D4" s="5" t="n"/>
      <c r="E4" s="5" t="n"/>
    </row>
    <row r="5">
      <c r="B5" s="35" t="inlineStr">
        <is>
          <t>km per jaar</t>
        </is>
      </c>
      <c r="C5" s="35" t="inlineStr">
        <is>
          <t>Besparing per jaar</t>
        </is>
      </c>
      <c r="D5" s="35" t="inlineStr">
        <is>
          <t>Terugverdientijd [jaar]</t>
        </is>
      </c>
    </row>
    <row r="6">
      <c r="B6" s="7" t="n">
        <v>60000</v>
      </c>
      <c r="C6" s="21">
        <f>(B6*((Model!$C$12*Model!$C$15+Model!$C$20+Model!$C$33)-(Model!$C$32*Model!$C$19+Model!$C$21+Model!$C$34))-Model!$C$22)*Model!$C$7+B6*Model!$C$32*Model!$C$7*Model!$C$84*(1-Model!$C$85)</f>
        <v/>
      </c>
      <c r="D6" s="39">
        <f>IF(C6&lt;=0,"nooit",Model!$C$56/C6)</f>
        <v/>
      </c>
    </row>
    <row r="7">
      <c r="B7" s="7" t="n">
        <v>80000</v>
      </c>
      <c r="C7" s="21">
        <f>(B7*((Model!$C$12*Model!$C$15+Model!$C$20+Model!$C$33)-(Model!$C$32*Model!$C$19+Model!$C$21+Model!$C$34))-Model!$C$22)*Model!$C$7+B7*Model!$C$32*Model!$C$7*Model!$C$84*(1-Model!$C$85)</f>
        <v/>
      </c>
      <c r="D7" s="39">
        <f>IF(C7&lt;=0,"nooit",Model!$C$56/C7)</f>
        <v/>
      </c>
    </row>
    <row r="8">
      <c r="B8" s="7" t="n">
        <v>100000</v>
      </c>
      <c r="C8" s="21">
        <f>(B8*((Model!$C$12*Model!$C$15+Model!$C$20+Model!$C$33)-(Model!$C$32*Model!$C$19+Model!$C$21+Model!$C$34))-Model!$C$22)*Model!$C$7+B8*Model!$C$32*Model!$C$7*Model!$C$84*(1-Model!$C$85)</f>
        <v/>
      </c>
      <c r="D8" s="39">
        <f>IF(C8&lt;=0,"nooit",Model!$C$56/C8)</f>
        <v/>
      </c>
    </row>
    <row r="9">
      <c r="B9" s="7" t="n">
        <v>120000</v>
      </c>
      <c r="C9" s="21">
        <f>(B9*((Model!$C$12*Model!$C$15+Model!$C$20+Model!$C$33)-(Model!$C$32*Model!$C$19+Model!$C$21+Model!$C$34))-Model!$C$22)*Model!$C$7+B9*Model!$C$32*Model!$C$7*Model!$C$84*(1-Model!$C$85)</f>
        <v/>
      </c>
      <c r="D9" s="39">
        <f>IF(C9&lt;=0,"nooit",Model!$C$56/C9)</f>
        <v/>
      </c>
    </row>
    <row r="10">
      <c r="B10" s="7" t="n">
        <v>150000</v>
      </c>
      <c r="C10" s="21">
        <f>(B10*((Model!$C$12*Model!$C$15+Model!$C$20+Model!$C$33)-(Model!$C$32*Model!$C$19+Model!$C$21+Model!$C$34))-Model!$C$22)*Model!$C$7+B10*Model!$C$32*Model!$C$7*Model!$C$84*(1-Model!$C$85)</f>
        <v/>
      </c>
      <c r="D10" s="39">
        <f>IF(C10&lt;=0,"nooit",Model!$C$56/C10)</f>
        <v/>
      </c>
    </row>
    <row r="11">
      <c r="B11" s="7" t="n">
        <v>180000</v>
      </c>
      <c r="C11" s="21">
        <f>(B11*((Model!$C$12*Model!$C$15+Model!$C$20+Model!$C$33)-(Model!$C$32*Model!$C$19+Model!$C$21+Model!$C$34))-Model!$C$22)*Model!$C$7+B11*Model!$C$32*Model!$C$7*Model!$C$84*(1-Model!$C$85)</f>
        <v/>
      </c>
      <c r="D11" s="39">
        <f>IF(C11&lt;=0,"nooit",Model!$C$56/C11)</f>
        <v/>
      </c>
    </row>
    <row r="12">
      <c r="B12" s="7" t="n">
        <v>200000</v>
      </c>
      <c r="C12" s="21">
        <f>(B12*((Model!$C$12*Model!$C$15+Model!$C$20+Model!$C$33)-(Model!$C$32*Model!$C$19+Model!$C$21+Model!$C$34))-Model!$C$22)*Model!$C$7+B12*Model!$C$32*Model!$C$7*Model!$C$84*(1-Model!$C$85)</f>
        <v/>
      </c>
      <c r="D12" s="39">
        <f>IF(C12&lt;=0,"nooit",Model!$C$56/C12)</f>
        <v/>
      </c>
    </row>
    <row r="15">
      <c r="B15" s="5" t="inlineStr">
        <is>
          <t>B. GEMENGDE STROOMPRIJS</t>
        </is>
      </c>
      <c r="C15" s="5" t="n"/>
      <c r="D15" s="5" t="n"/>
      <c r="E15" s="5" t="n"/>
    </row>
    <row r="16">
      <c r="B16" s="35" t="inlineStr">
        <is>
          <t>€ per kWh</t>
        </is>
      </c>
      <c r="C16" s="35" t="inlineStr">
        <is>
          <t>Besparing per jaar</t>
        </is>
      </c>
      <c r="D16" s="35" t="inlineStr">
        <is>
          <t>Terugverdientijd [jaar]</t>
        </is>
      </c>
    </row>
    <row r="17">
      <c r="B17" s="12" t="n">
        <v>0.11</v>
      </c>
      <c r="C17" s="21">
        <f>Model!$C$90+(Model!$C$19-B17)*Model!$C$8*Model!$C$32*Model!$C$7</f>
        <v/>
      </c>
      <c r="D17" s="39">
        <f>IF(C17&lt;=0,"nooit",Model!$C$56/C17)</f>
        <v/>
      </c>
    </row>
    <row r="18">
      <c r="B18" s="12" t="n">
        <v>0.14</v>
      </c>
      <c r="C18" s="21">
        <f>Model!$C$90+(Model!$C$19-B18)*Model!$C$8*Model!$C$32*Model!$C$7</f>
        <v/>
      </c>
      <c r="D18" s="39">
        <f>IF(C18&lt;=0,"nooit",Model!$C$56/C18)</f>
        <v/>
      </c>
    </row>
    <row r="19">
      <c r="B19" s="12" t="n">
        <v>0.16</v>
      </c>
      <c r="C19" s="21">
        <f>Model!$C$90+(Model!$C$19-B19)*Model!$C$8*Model!$C$32*Model!$C$7</f>
        <v/>
      </c>
      <c r="D19" s="39">
        <f>IF(C19&lt;=0,"nooit",Model!$C$56/C19)</f>
        <v/>
      </c>
    </row>
    <row r="20">
      <c r="B20" s="12" t="n">
        <v>0.18</v>
      </c>
      <c r="C20" s="21">
        <f>Model!$C$90+(Model!$C$19-B20)*Model!$C$8*Model!$C$32*Model!$C$7</f>
        <v/>
      </c>
      <c r="D20" s="39">
        <f>IF(C20&lt;=0,"nooit",Model!$C$56/C20)</f>
        <v/>
      </c>
    </row>
    <row r="21">
      <c r="B21" s="12" t="n">
        <v>0.2154</v>
      </c>
      <c r="C21" s="21">
        <f>Model!$C$90+(Model!$C$19-B21)*Model!$C$8*Model!$C$32*Model!$C$7</f>
        <v/>
      </c>
      <c r="D21" s="39">
        <f>IF(C21&lt;=0,"nooit",Model!$C$56/C21)</f>
        <v/>
      </c>
    </row>
    <row r="22">
      <c r="B22" s="12" t="n">
        <v>0.25</v>
      </c>
      <c r="C22" s="21">
        <f>Model!$C$90+(Model!$C$19-B22)*Model!$C$8*Model!$C$32*Model!$C$7</f>
        <v/>
      </c>
      <c r="D22" s="39">
        <f>IF(C22&lt;=0,"nooit",Model!$C$56/C22)</f>
        <v/>
      </c>
    </row>
    <row r="23">
      <c r="B23" s="12" t="n">
        <v>0.3</v>
      </c>
      <c r="C23" s="21">
        <f>Model!$C$90+(Model!$C$19-B23)*Model!$C$8*Model!$C$32*Model!$C$7</f>
        <v/>
      </c>
      <c r="D23" s="39">
        <f>IF(C23&lt;=0,"nooit",Model!$C$56/C23)</f>
        <v/>
      </c>
    </row>
    <row r="26">
      <c r="B26" s="5" t="inlineStr">
        <is>
          <t>C. DIESELVERBRUIK — 1 OP ...</t>
        </is>
      </c>
      <c r="C26" s="5" t="n"/>
      <c r="D26" s="5" t="n"/>
      <c r="E26" s="5" t="n"/>
    </row>
    <row r="27">
      <c r="B27" s="35" t="inlineStr">
        <is>
          <t>1 op ...</t>
        </is>
      </c>
      <c r="C27" s="35" t="inlineStr">
        <is>
          <t>Besparing per jaar</t>
        </is>
      </c>
      <c r="D27" s="35" t="inlineStr">
        <is>
          <t>Terugverdientijd [jaar]</t>
        </is>
      </c>
    </row>
    <row r="28">
      <c r="B28" s="9" t="n">
        <v>2.9</v>
      </c>
      <c r="C28" s="21">
        <f>Model!$C$90+(1/B28-Model!$C$12)*Model!$C$8*Model!$C$15*Model!$C$7</f>
        <v/>
      </c>
      <c r="D28" s="39">
        <f>IF(C28&lt;=0,"nooit",Model!$C$56/C28)</f>
        <v/>
      </c>
    </row>
    <row r="29">
      <c r="B29" s="9" t="n">
        <v>3.2</v>
      </c>
      <c r="C29" s="21">
        <f>Model!$C$90+(1/B29-Model!$C$12)*Model!$C$8*Model!$C$15*Model!$C$7</f>
        <v/>
      </c>
      <c r="D29" s="39">
        <f>IF(C29&lt;=0,"nooit",Model!$C$56/C29)</f>
        <v/>
      </c>
    </row>
    <row r="30">
      <c r="B30" s="9" t="n">
        <v>3.5</v>
      </c>
      <c r="C30" s="21">
        <f>Model!$C$90+(1/B30-Model!$C$12)*Model!$C$8*Model!$C$15*Model!$C$7</f>
        <v/>
      </c>
      <c r="D30" s="39">
        <f>IF(C30&lt;=0,"nooit",Model!$C$56/C30)</f>
        <v/>
      </c>
    </row>
    <row r="31">
      <c r="B31" s="9" t="n">
        <v>3.8</v>
      </c>
      <c r="C31" s="21">
        <f>Model!$C$90+(1/B31-Model!$C$12)*Model!$C$8*Model!$C$15*Model!$C$7</f>
        <v/>
      </c>
      <c r="D31" s="39">
        <f>IF(C31&lt;=0,"nooit",Model!$C$56/C31)</f>
        <v/>
      </c>
    </row>
    <row r="32">
      <c r="B32" s="9" t="n">
        <v>4.1</v>
      </c>
      <c r="C32" s="21">
        <f>Model!$C$90+(1/B32-Model!$C$12)*Model!$C$8*Model!$C$15*Model!$C$7</f>
        <v/>
      </c>
      <c r="D32" s="39">
        <f>IF(C32&lt;=0,"nooit",Model!$C$56/C32)</f>
        <v/>
      </c>
    </row>
    <row r="33">
      <c r="B33" s="9" t="n">
        <v>4.5</v>
      </c>
      <c r="C33" s="21">
        <f>Model!$C$90+(1/B33-Model!$C$12)*Model!$C$8*Model!$C$15*Model!$C$7</f>
        <v/>
      </c>
      <c r="D33" s="39">
        <f>IF(C33&lt;=0,"nooit",Model!$C$56/C33)</f>
        <v/>
      </c>
    </row>
    <row r="34">
      <c r="B34" s="9" t="n">
        <v>5</v>
      </c>
      <c r="C34" s="21">
        <f>Model!$C$90+(1/B34-Model!$C$12)*Model!$C$8*Model!$C$15*Model!$C$7</f>
        <v/>
      </c>
      <c r="D34" s="39">
        <f>IF(C34&lt;=0,"nooit",Model!$C$56/C34)</f>
        <v/>
      </c>
    </row>
    <row r="37">
      <c r="B37" s="5" t="inlineStr">
        <is>
          <t>D. ONDERNEMINGSGROOTTE</t>
        </is>
      </c>
      <c r="C37" s="5" t="n"/>
      <c r="D37" s="5" t="n"/>
      <c r="E37" s="5" t="n"/>
      <c r="F37" s="5" t="n"/>
    </row>
    <row r="38">
      <c r="B38" s="35" t="inlineStr">
        <is>
          <t>Grootte</t>
        </is>
      </c>
      <c r="C38" s="35" t="inlineStr">
        <is>
          <t>AanZET totaal</t>
        </is>
      </c>
      <c r="D38" s="35" t="inlineStr">
        <is>
          <t>Extra investering</t>
        </is>
      </c>
      <c r="E38" s="35" t="inlineStr">
        <is>
          <t>Terugverdientijd [jaar]</t>
        </is>
      </c>
    </row>
    <row r="39">
      <c r="B39" s="6" t="inlineStr">
        <is>
          <t>Klein</t>
        </is>
      </c>
      <c r="C39" s="21">
        <f>MIN(Model!$C$13*SUMIFS('Panteia-parameters'!$E$16:$E$27,'Panteia-parameters'!$C$16:$C$27,Model!$C$30,'Panteia-parameters'!$D$16:$D$27,B39),SUMIFS('Panteia-parameters'!$F$16:$F$27,'Panteia-parameters'!$C$16:$C$27,Model!$C$30,'Panteia-parameters'!$D$16:$D$27,B39),INDEX('Panteia-parameters'!$D$31:$D$33,MATCH(B39,'Panteia-parameters'!$C$31:$C$33,0))*Model!$C$42)*Model!$C$7</f>
        <v/>
      </c>
      <c r="D39" s="21">
        <f>(Model!$C$42-MIN(Model!$C$13*SUMIFS('Panteia-parameters'!$E$16:$E$27,'Panteia-parameters'!$C$16:$C$27,Model!$C$30,'Panteia-parameters'!$D$16:$D$27,B39),SUMIFS('Panteia-parameters'!$F$16:$F$27,'Panteia-parameters'!$C$16:$C$27,Model!$C$30,'Panteia-parameters'!$D$16:$D$27,B39),INDEX('Panteia-parameters'!$D$31:$D$33,MATCH(B39,'Panteia-parameters'!$C$31:$C$33,0))*Model!$C$42)-MAX(0,IF(Model!$C$25="Ja",Model!$C$13,Model!$C$42)-MIN(Model!$C$13*SUMIFS('Panteia-parameters'!$E$16:$E$27,'Panteia-parameters'!$C$16:$C$27,Model!$C$30,'Panteia-parameters'!$D$16:$D$27,B39),SUMIFS('Panteia-parameters'!$F$16:$F$27,'Panteia-parameters'!$C$16:$C$27,Model!$C$30,'Panteia-parameters'!$D$16:$D$27,B39),INDEX('Panteia-parameters'!$D$31:$D$33,MATCH(B39,'Panteia-parameters'!$C$31:$C$33,0))*Model!$C$42))*Model!$C$24*Model!$C$23)*Model!$C$7+Model!$C$55</f>
        <v/>
      </c>
      <c r="E39" s="39">
        <f>IF(Model!$C$90&lt;=0,"nooit",D39/Model!$C$90)</f>
        <v/>
      </c>
    </row>
    <row r="40">
      <c r="B40" s="6" t="inlineStr">
        <is>
          <t>Middelgroot</t>
        </is>
      </c>
      <c r="C40" s="21">
        <f>MIN(Model!$C$13*SUMIFS('Panteia-parameters'!$E$16:$E$27,'Panteia-parameters'!$C$16:$C$27,Model!$C$30,'Panteia-parameters'!$D$16:$D$27,B40),SUMIFS('Panteia-parameters'!$F$16:$F$27,'Panteia-parameters'!$C$16:$C$27,Model!$C$30,'Panteia-parameters'!$D$16:$D$27,B40),INDEX('Panteia-parameters'!$D$31:$D$33,MATCH(B40,'Panteia-parameters'!$C$31:$C$33,0))*Model!$C$42)*Model!$C$7</f>
        <v/>
      </c>
      <c r="D40" s="21">
        <f>(Model!$C$42-MIN(Model!$C$13*SUMIFS('Panteia-parameters'!$E$16:$E$27,'Panteia-parameters'!$C$16:$C$27,Model!$C$30,'Panteia-parameters'!$D$16:$D$27,B40),SUMIFS('Panteia-parameters'!$F$16:$F$27,'Panteia-parameters'!$C$16:$C$27,Model!$C$30,'Panteia-parameters'!$D$16:$D$27,B40),INDEX('Panteia-parameters'!$D$31:$D$33,MATCH(B40,'Panteia-parameters'!$C$31:$C$33,0))*Model!$C$42)-MAX(0,IF(Model!$C$25="Ja",Model!$C$13,Model!$C$42)-MIN(Model!$C$13*SUMIFS('Panteia-parameters'!$E$16:$E$27,'Panteia-parameters'!$C$16:$C$27,Model!$C$30,'Panteia-parameters'!$D$16:$D$27,B40),SUMIFS('Panteia-parameters'!$F$16:$F$27,'Panteia-parameters'!$C$16:$C$27,Model!$C$30,'Panteia-parameters'!$D$16:$D$27,B40),INDEX('Panteia-parameters'!$D$31:$D$33,MATCH(B40,'Panteia-parameters'!$C$31:$C$33,0))*Model!$C$42))*Model!$C$24*Model!$C$23)*Model!$C$7+Model!$C$55</f>
        <v/>
      </c>
      <c r="E40" s="39">
        <f>IF(Model!$C$90&lt;=0,"nooit",D40/Model!$C$90)</f>
        <v/>
      </c>
    </row>
    <row r="41">
      <c r="B41" s="6" t="inlineStr">
        <is>
          <t>Groot</t>
        </is>
      </c>
      <c r="C41" s="21">
        <f>MIN(Model!$C$13*SUMIFS('Panteia-parameters'!$E$16:$E$27,'Panteia-parameters'!$C$16:$C$27,Model!$C$30,'Panteia-parameters'!$D$16:$D$27,B41),SUMIFS('Panteia-parameters'!$F$16:$F$27,'Panteia-parameters'!$C$16:$C$27,Model!$C$30,'Panteia-parameters'!$D$16:$D$27,B41),INDEX('Panteia-parameters'!$D$31:$D$33,MATCH(B41,'Panteia-parameters'!$C$31:$C$33,0))*Model!$C$42)*Model!$C$7</f>
        <v/>
      </c>
      <c r="D41" s="21">
        <f>(Model!$C$42-MIN(Model!$C$13*SUMIFS('Panteia-parameters'!$E$16:$E$27,'Panteia-parameters'!$C$16:$C$27,Model!$C$30,'Panteia-parameters'!$D$16:$D$27,B41),SUMIFS('Panteia-parameters'!$F$16:$F$27,'Panteia-parameters'!$C$16:$C$27,Model!$C$30,'Panteia-parameters'!$D$16:$D$27,B41),INDEX('Panteia-parameters'!$D$31:$D$33,MATCH(B41,'Panteia-parameters'!$C$31:$C$33,0))*Model!$C$42)-MAX(0,IF(Model!$C$25="Ja",Model!$C$13,Model!$C$42)-MIN(Model!$C$13*SUMIFS('Panteia-parameters'!$E$16:$E$27,'Panteia-parameters'!$C$16:$C$27,Model!$C$30,'Panteia-parameters'!$D$16:$D$27,B41),SUMIFS('Panteia-parameters'!$F$16:$F$27,'Panteia-parameters'!$C$16:$C$27,Model!$C$30,'Panteia-parameters'!$D$16:$D$27,B41),INDEX('Panteia-parameters'!$D$31:$D$33,MATCH(B41,'Panteia-parameters'!$C$31:$C$33,0))*Model!$C$42))*Model!$C$24*Model!$C$23)*Model!$C$7+Model!$C$55</f>
        <v/>
      </c>
      <c r="E41" s="39">
        <f>IF(Model!$C$90&lt;=0,"nooit",D41/Model!$C$90)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2026-08-21T11:45:00Z</dcterms:created>
  <dcterms:modified xsi:type="dcterms:W3CDTF">2026-08-21T11:45:00Z</dcterms:modified>
</cp:coreProperties>
</file>